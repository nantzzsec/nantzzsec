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pe" sheetId="1" r:id="rId4"/>
    <sheet state="visible" name="Vulnerability WebApps" sheetId="2" r:id="rId5"/>
    <sheet state="visible" name="Vulnerability Network" sheetId="3" r:id="rId6"/>
  </sheets>
  <definedNames>
    <definedName hidden="1" localSheetId="0" name="_xlnm._FilterDatabase">Scope!$B$5:$I$31</definedName>
    <definedName hidden="1" localSheetId="1" name="_xlnm._FilterDatabase">'Vulnerability WebApps'!$B$18:$O$355</definedName>
    <definedName hidden="1" localSheetId="2" name="_xlnm._FilterDatabase">'Vulnerability Network'!$B$5:$J$31</definedName>
  </definedNames>
  <calcPr/>
</workbook>
</file>

<file path=xl/sharedStrings.xml><?xml version="1.0" encoding="utf-8"?>
<sst xmlns="http://schemas.openxmlformats.org/spreadsheetml/2006/main" count="3557" uniqueCount="577">
  <si>
    <t>Scope WebApps ( Sort By Priority )</t>
  </si>
  <si>
    <t>No</t>
  </si>
  <si>
    <t>Application Name</t>
  </si>
  <si>
    <t>URL / Endpoint</t>
  </si>
  <si>
    <t>IP Public</t>
  </si>
  <si>
    <t>IP Private</t>
  </si>
  <si>
    <t>WAF</t>
  </si>
  <si>
    <t>Base Programming Language</t>
  </si>
  <si>
    <t>Status</t>
  </si>
  <si>
    <t>None</t>
  </si>
  <si>
    <t>k</t>
  </si>
  <si>
    <t>Vulnerability WebApps ( Sort By Priority )</t>
  </si>
  <si>
    <t>Vulnerable URL</t>
  </si>
  <si>
    <t>Paramater Vulnerable</t>
  </si>
  <si>
    <t>Vulnerability</t>
  </si>
  <si>
    <t>Category OWASP</t>
  </si>
  <si>
    <t>CVSS Score</t>
  </si>
  <si>
    <t>Severity</t>
  </si>
  <si>
    <t>VAPT</t>
  </si>
  <si>
    <t>Created By</t>
  </si>
  <si>
    <t>Week</t>
  </si>
  <si>
    <t>Last Updated</t>
  </si>
  <si>
    <t>VAPT File</t>
  </si>
  <si>
    <t>Tiket Gratis Admin</t>
  </si>
  <si>
    <t>https://tiket-gratis-dev.pelni.co.id/office/mutis-verification/data?draw=1&amp;columns%5B0%5D%5Bdata%5D=campaign&amp;columns%5B0%5D%5Bname%5D=campaign&amp;columns%5B0%5D%5Bsearchable%5D=true&amp;columns%5B0%5D%5Borderable%5D=true&amp;columns%5B0%5D%5Bsearch%5D%5Bvalue%5D=&amp;columns%5B0%5D%5Bsearch%5D%5Bregex%5D=false&amp;columns%5B1%5D%5Bdata%5D=kapal_voyage&amp;columns%5B1%5D%5Bname%5D=kapal_voyage&amp;columns%5B1%5D%5Bsearchable%5D=true&amp;columns%5B1%5D%5Borderable%5D=true&amp;columns%5B1%5D%5Bsearch%5D%5Bvalue%5D=&amp;columns%5B1%5D%5Bsearch%5D%5Bregex%5D=false&amp;columns%5B2%5D%5Bdata%5D=org_des&amp;columns%5B2%5D%5Bname%5D=org_des&amp;columns%5B2%5D%5Bsearchable%5D=true&amp;columns%5B2%5D%5Borderable%5D=true&amp;columns%5B2%5D%5Bsearch%5D%5Bvalue%5D=&amp;columns%5B2%5D%5Bsearch%5D%5Bregex%5D=false&amp;columns%5B3%5D%5Bdata%5D=started_at&amp;columns%5B3%5D%5Bname%5D=started_at&amp;columns%5B3%5D%5Bsearchable%5D=true&amp;columns%5B3%5D%5Borderable%5D=true&amp;columns%5B3%5D%5Bsearch%5D%5Bvalue%5D=&amp;columns%5B3%5D%5Bsearch%5D%5Bregex%5D=false&amp;columns%5B4%5D%5Bdata%5D=ended_at&amp;columns%5B4%5D%5Bname%5D=ended_at&amp;columns%5B4%5D%5Bsearchable%5D=true&amp;columns%5B4%5D%5Borderable%5D=true&amp;columns%5B4%5D%5Bsearch%5D%5Bvalue%5D=&amp;columns%5B4%5D%5Bsearch%5D%5Bregex%5D=false&amp;columns%5B5%5D%5Bdata%5D=terisi&amp;columns%5B5%5D%5Bname%5D=terisi&amp;columns%5B5%5D%5Bsearchable%5D=false&amp;columns%5B5%5D%5Borderable%5D=false&amp;columns%5B5%5D%5Bsearch%5D%5Bvalue%5D=&amp;columns%5B5%5D%5Bsearch%5D%5Bregex%5D=false&amp;columns%5B6%5D%5Bdata%5D=aksi&amp;columns%5B6%5D%5Bname%5D=aksi&amp;columns%5B6%5D%5Bsearchable%5D=false&amp;columns%5B6%5D%5Borderable%5D=false&amp;columns%5B6%5D%5Bsearch%5D%5Bvalue%5D=&amp;columns%5B6%5D%5Bsearch%5D%5Bregex%5D=false&amp;order%5B0%5D%5Bcolumn%5D=0&amp;order%5B0%5D%5Bdir%5D=asc&amp;order%5B0%5D%5Bname%5D=campaign&amp;start=0&amp;length=10&amp;search%5Bvalue%5D=&amp;search%5Bregex%5D=false&amp;_=1741401690456</t>
  </si>
  <si>
    <t>order[0][column]=0</t>
  </si>
  <si>
    <t>Improper Error Handling</t>
  </si>
  <si>
    <t>Improper</t>
  </si>
  <si>
    <t>CVSS:3.1/AV:N/AC:L/PR:H/UI:R/S:U/C:L/I:L/A:L</t>
  </si>
  <si>
    <t>Medium</t>
  </si>
  <si>
    <t>Resolved</t>
  </si>
  <si>
    <t>Created</t>
  </si>
  <si>
    <t>Tengku Arya Saputra</t>
  </si>
  <si>
    <t>Week 1</t>
  </si>
  <si>
    <t>03/27/2025 11:58:46</t>
  </si>
  <si>
    <t>VAPT - 1 Maret - 31 Maret - PELNI - Tengku Arya.pdf</t>
  </si>
  <si>
    <t>https://tiket-gratis-dev.pelni.co.id/office/mutis-rute/save</t>
  </si>
  <si>
    <t>kuota</t>
  </si>
  <si>
    <t>CVSS:3.0/AV:N/AC:L/PR:H/UI:R/S:U/C:H/I:L/A:L</t>
  </si>
  <si>
    <t>03/11/2025 16:21:07</t>
  </si>
  <si>
    <t>Name</t>
  </si>
  <si>
    <t>Total</t>
  </si>
  <si>
    <t>https://tiket-gratis-dev.pelni.co.id/office/mutis-rute/update/9e61baab-6ba3-485c-902d-11971719654a</t>
  </si>
  <si>
    <t>Voyage</t>
  </si>
  <si>
    <t>Gede Ananda</t>
  </si>
  <si>
    <t>03/11/2025 16:22:53</t>
  </si>
  <si>
    <t>VAPT - 1 - 30 Maret 2025 - Gede Ananda.pdf</t>
  </si>
  <si>
    <t>Low</t>
  </si>
  <si>
    <t>call asal</t>
  </si>
  <si>
    <t>03/10/2025 13:09:35</t>
  </si>
  <si>
    <t>call tujuan</t>
  </si>
  <si>
    <t>03/10/2025 04:56:62</t>
  </si>
  <si>
    <t>High</t>
  </si>
  <si>
    <t>https://tiket-gratis-dev.pelni.co.id/office/campaign/update/9e598a5a-58b6-4ddf-a5f2-dc442a379bc4</t>
  </si>
  <si>
    <t>Dimulai pada</t>
  </si>
  <si>
    <t>03/27/2025 11:52:28</t>
  </si>
  <si>
    <t>Critical</t>
  </si>
  <si>
    <t>Berakhir Pada</t>
  </si>
  <si>
    <t>03/26/2025 15:46:47</t>
  </si>
  <si>
    <t>Recommendation</t>
  </si>
  <si>
    <t>kode kapal</t>
  </si>
  <si>
    <t>03/10/2025 04:56:68</t>
  </si>
  <si>
    <t>SQL Injection</t>
  </si>
  <si>
    <t>Injection</t>
  </si>
  <si>
    <t>CVSS:3.1/AV:N/AC:L/PR:H/UI:N/S:C/C:H/I:H/A:H</t>
  </si>
  <si>
    <t>03/11/2025 16:28:55</t>
  </si>
  <si>
    <t>https://tiket-gratis-dev.pelni.co.id/office/mutis-verification/data?draw=1&amp;columns%5B0%5D%5Bdata%5D=campaign&amp;columns%5B0%5D%5Bname%5D=campaign&amp;columns%5B0%5D%5Bsearchable%5D=true&amp;columns%5B0%5D%5Borderable%5D=true&amp;columns%5B0%5D%5Bsearch%5D%5Bvalue%5D=&amp;columns%5B0%5D%5Bsearch%5D%5Bregex%5D=false&amp;columns%5B1%5D%5Bdata%5D=kapal_voyage&amp;columns%5B1%5D%5Bname%5D=kapal_voyage&amp;columns%5B1%5D%5Bsearchable%5D=true&amp;columns%5B1%5D%5Borderable%5D=true&amp;columns%5B1%5D%5Bsearch%5D%5Bvalue%5D=&amp;columns%5B1%5D%5Bsearch%5D%5Bregex%5D=false&amp;columns%5B2%5D%5Bdata%5D=org_des&amp;columns%5B2%5D%5Bname%5D=org_des&amp;columns%5B2%5D%5Bsearchable%5D=true&amp;columns%5B2%5D%5Borderable%5D=true&amp;columns%5B2%5D%5Bsearch%5D%5Bvalue%5D=&amp;columns%5B2%5D%5Bsearch%5D%5Bregex%5D=false&amp;columns%5B3%5D%5Bdata%5D=started_at&amp;columns%5B3%5D%5Bname%5D=started_at&amp;columns%5B3%5D%5Bsearchable%5D=true&amp;columns%5B3%5D%5Borderable%5D=true&amp;columns%5B3%5D%5Bsearch%5D%5Bvalue%5D=&amp;columns%5B3%5D%5Bsearch%5D%5Bregex%5D=false&amp;columns%5B4%5D%5Bdata%5D=ended_at&amp;columns%5B4%5D%5Bname%5D=ended_at&amp;columns%5B4%5D%5Bsearchable%5D=true&amp;columns%5B4%5D%5Borderable%5D=true&amp;columns%5B4%5D%5Bsearch%5D%5Bvalue%5D=&amp;columns%5B4%5D%5Bsearch%5D%5Bregex%5D=false&amp;columns%5B5%5D%5Bdata%5D=terisi&amp;columns%5B5%5D%5Bname%5D=terisi&amp;columns%5B5%5D%5Bsearchable%5D=false&amp;columns%5B5%5D%5Borderable%5D=false&amp;columns%5B5%5D%5Bsearch%5D%5Bvalue%5D=&amp;columns%5B5%5D%5Bsearch%5D%5Bregex%5D=false&amp;columns%5B6%5D%5Bdata%5D=aksi&amp;columns%5B6%5D%5Bname%5D=aksi&amp;columns%5B6%5D%5Bsearchable%5D=false&amp;columns%5B6%5D%5Borderable%5D=false&amp;columns%5B6%5D%5Bsearch%5D%5Bvalue%5D=&amp;columns%5B6%5D%5Bsearch%5D%5Bregex%5D=false&amp;order%5B0%5D%5Bcolumn%5D=0&amp;order%5B0%5D%5Bdir%5D=asc&amp;order%5B0%5D%5Bname%5D=campaign&amp;start=0&amp;length=10&amp;search%5Bvalue%5D=&amp;search%5Bregex%5D=false&amp;_=1741401690458</t>
  </si>
  <si>
    <t>columns[0][name]=campaign</t>
  </si>
  <si>
    <t>Sensitive Information Disclosure</t>
  </si>
  <si>
    <t>Sensitive Data Exspose</t>
  </si>
  <si>
    <t>CVSS:3.1/AV:N/AC:L/PR:H/UI:N/S:C/C:H/I:L/A:L</t>
  </si>
  <si>
    <t>03/10/2025 07:37:41</t>
  </si>
  <si>
    <t>https://tiket-gratis-dev.pelni.co.id/office/mutis-verification/data?draw=1&amp;columns%5B0%5D%5Bdata%5D=campaign&amp;columns%5B0%5D%5Bname%5D=campaign&amp;columns%5B0%5D%5Bsearchable%5D=true&amp;columns%5B0%5D%5Borderable%5D=true&amp;columns%5B0%5D%5Bsearch%5D%5Bvalue%5D=&amp;columns%5B0%5D%5Bsearch%5D%5Bregex%5D=false&amp;columns%5B1%5D%5Bdata%5D=kapal_voyage&amp;columns%5B1%5D%5Bname%5D=kapal_voyage&amp;columns%5B1%5D%5Bsearchable%5D=true&amp;columns%5B1%5D%5Borderable%5D=true&amp;columns%5B1%5D%5Bsearch%5D%5Bvalue%5D=&amp;columns%5B1%5D%5Bsearch%5D%5Bregex%5D=false&amp;columns%5B2%5D%5Bdata%5D=org_des&amp;columns%5B2%5D%5Bname%5D=org_des&amp;columns%5B2%5D%5Bsearchable%5D=true&amp;columns%5B2%5D%5Borderable%5D=true&amp;columns%5B2%5D%5Bsearch%5D%5Bvalue%5D=&amp;columns%5B2%5D%5Bsearch%5D%5Bregex%5D=false&amp;columns%5B3%5D%5Bdata%5D=started_at&amp;columns%5B3%5D%5Bname%5D=started_at&amp;columns%5B3%5D%5Bsearchable%5D=true&amp;columns%5B3%5D%5Borderable%5D=true&amp;columns%5B3%5D%5Bsearch%5D%5Bvalue%5D=&amp;columns%5B3%5D%5Bsearch%5D%5Bregex%5D=false&amp;columns%5B4%5D%5Bdata%5D=ended_at&amp;columns%5B4%5D%5Bname%5D=ended_at&amp;columns%5B4%5D%5Bsearchable%5D=true&amp;columns%5B4%5D%5Borderable%5D=true&amp;columns%5B4%5D%5Bsearch%5D%5Bvalue%5D=&amp;columns%5B4%5D%5Bsearch%5D%5Bregex%5D=false&amp;columns%5B5%5D%5Bdata%5D=terisi&amp;columns%5B5%5D%5Bname%5D=terisi&amp;columns%5B5%5D%5Bsearchable%5D=false&amp;columns%5B5%5D%5Borderable%5D=false&amp;columns%5B5%5D%5Bsearch%5D%5Bvalue%5D=&amp;columns%5B5%5D%5Bsearch%5D%5Bregex%5D=false&amp;columns%5B6%5D%5Bdata%5D=aksi&amp;columns%5B6%5D%5Bname%5D=aksi&amp;columns%5B6%5D%5Bsearchable%5D=false&amp;columns%5B6%5D%5Borderable%5D=false&amp;columns%5B6%5D%5Bsearch%5D%5Bvalue%5D=&amp;columns%5B6%5D%5Bsearch%5D%5Bregex%5D=false&amp;order%5B0%5D%5Bcolumn%5D=0&amp;order%5B0%5D%5Bdir%5D=asc&amp;order%5B0%5D%5Bname%5D=campaign&amp;start=0&amp;length=10&amp;search%5Bvalue%5D=&amp;search%5Bregex%5D=false&amp;_=1741401690460</t>
  </si>
  <si>
    <t>search[value]=</t>
  </si>
  <si>
    <t>03/10/2025 07:37:39</t>
  </si>
  <si>
    <t>https://tiket-gratis-dev.pelni.co.id/office/mutis-report</t>
  </si>
  <si>
    <t>03/10/2025 08:01:17</t>
  </si>
  <si>
    <t>New</t>
  </si>
  <si>
    <t>https://tiket-gratis-dev.pelni.co.id/office/offline-mutis/</t>
  </si>
  <si>
    <t>03/10/2025 08:01:20</t>
  </si>
  <si>
    <t>No Fix</t>
  </si>
  <si>
    <t>https://tiket-gratis-dev.pelni.co.id/office/mutis-finalization</t>
  </si>
  <si>
    <t>Retesting</t>
  </si>
  <si>
    <t>https://tiket-gratis-dev.pelni.co.id/office/mutis-report/data/rute/9e4d828c-5d35-4a11-995c-4dc55ea68fc6?draw=1&amp;columns%5B0%5D%5Bdata%5D=kapal_rute&amp;columns%5B0%5D%5Bname%5D=kapal_rute&amp;columns%5B0%5D%5Bsearchable%5D=true&amp;columns%5B0%5D%5Borderable%5D=true&amp;columns%5B0%5D%5Bsearch%5D%5Bvalue%5D=&amp;columns%5B0%5D%5Bsearch%5D%5Bregex%5D=false&amp;columns%5B1%5D%5Bdata%5D=kode_daftar&amp;columns%5B1%5D%5Bname%5D=kode_daftar&amp;columns%5B1%5D%5Bsearchable%5D=true&amp;columns%5B1%5D%5Borderable%5D=true&amp;columns%5B1%5D%5Bsearch%5D%5Bvalue%5D=&amp;columns%5B1%5D%5Bsearch%5D%5Bregex%5D=false&amp;columns%5B2%5D%5Bdata%5D=info_pnp&amp;columns%5B2%5D%5Bname%5D=info_pnp&amp;columns%5B2%5D%5Bsearchable%5D=true&amp;columns%5B2%5D%5Borderable%5D=true&amp;columns%5B2%5D%5Bsearch%5D%5Bvalue%5D=&amp;columns%5B2%5D%5Bsearch%5D%5Bregex%5D=false&amp;columns%5B3%5D%5Bdata%5D=flag_status&amp;columns%5B3%5D%5Bname%5D=flag_status&amp;columns%5B3%5D%5Bsearchable%5D=false&amp;columns%5B3%5D%5Borderable%5D=false&amp;columns%5B3%5D%5Bsearch%5D%5Bvalue%5D=&amp;columns%5B3%5D%5Bsearch%5D%5Bregex%5D=false&amp;columns%5B4%5D%5Bdata%5D=aksi&amp;columns%5B4%5D%5Bname%5D=aksi&amp;columns%5B4%5D%5Bsearchable%5D=false&amp;columns%5B4%5D%5Borderable%5D=false&amp;columns%5B4%5D%5Bsearch%5D%5Bvalue%5D=&amp;columns%5B4%5D%5Bsearch%5D%5Bregex%5D=false&amp;order%5B0%5D%5Bcolumn%5D=0&amp;order%5B0%5D%5Bdir%5D=asc&amp;order%5B0%5D%5Bname%5D=kapal_rute&amp;start=0&amp;length=10&amp;search%5Bvalue%5D=&amp;search%5Bregex%5D=false&amp;_=1741435521730</t>
  </si>
  <si>
    <t>columns[0][name]</t>
  </si>
  <si>
    <t>03/10/2025 08:01:32</t>
  </si>
  <si>
    <t>https://tiket-gratis-dev.pelni.co.id/office/mutis-verification/data?draw=1&amp;columns%5B0%5D%5Bdata%5D=campaign&amp;columns%5B0%5D%5Bname%5D=campaign&amp;columns%5B0%5D%5Bsearchable%5D=true&amp;columns%5B0%5D%5Borderable%5D=true&amp;columns%5B0%5D%5Bsearch%5D%5Bvalue%5D=&amp;columns%5B0%5D%5Bsearch%5D%5Bregex%5D=false&amp;columns%5B1%5D%5Bdata%5D=kapal_voyage&amp;columns%5B1%5D%5Bname%5D=kapal_voyage&amp;columns%5B1%5D%5Bsearchable%5D=true&amp;columns%5B1%5D%5Borderable%5D=true&amp;columns%5B1%5D%5Bsearch%5D%5Bvalue%5D=&amp;columns%5B1%5D%5Bsearch%5D%5Bregex%5D=false&amp;columns%5B2%5D%5Bdata%5D=org_des&amp;columns%5B2%5D%5Bname%5D=org_des&amp;columns%5B2%5D%5Bsearchable%5D=true&amp;columns%5B2%5D%5Borderable%5D=true&amp;columns%5B2%5D%5Bsearch%5D%5Bvalue%5D=&amp;columns%5B2%5D%5Bsearch%5D%5Bregex%5D=false&amp;columns%5B3%5D%5Bdata%5D=started_at&amp;columns%5B3%5D%5Bname%5D=started_at&amp;columns%5B3%5D%5Bsearchable%5D=true&amp;columns%5B3%5D%5Borderable%5D=true&amp;columns%5B3%5D%5Bsearch%5D%5Bvalue%5D=&amp;columns%5B3%5D%5Bsearch%5D%5Bregex%5D=false&amp;columns%5B4%5D%5Bdata%5D=ended_at&amp;columns%5B4%5D%5Bname%5D=ended_at&amp;columns%5B4%5D%5Bsearchable%5D=true&amp;columns%5B4%5D%5Borderable%5D=true&amp;columns%5B4%5D%5Bsearch%5D%5Bvalue%5D=&amp;columns%5B4%5D%5Bsearch%5D%5Bregex%5D=false&amp;columns%5B5%5D%5Bdata%5D=terisi&amp;columns%5B5%5D%5Bname%5D=terisi&amp;columns%5B5%5D%5Bsearchable%5D=false&amp;columns%5B5%5D%5Borderable%5D=false&amp;columns%5B5%5D%5Bsearch%5D%5Bvalue%5D=&amp;columns%5B5%5D%5Bsearch%5D%5Bregex%5D=false&amp;columns%5B6%5D%5Bdata%5D=aksi&amp;columns%5B6%5D%5Bname%5D=aksi&amp;columns%5B6%5D%5Bsearchable%5D=false&amp;columns%5B6%5D%5Borderable%5D=false&amp;columns%5B6%5D%5Bsearch%5D%5Bvalue%5D=&amp;columns%5B6%5D%5Bsearch%5D%5Bregex%5D=false&amp;order%5B0%5D%5Bcolumn%5D=0&amp;order%5B0%5D%5Bdir%5D=asc&amp;order%5B0%5D%5Bname%5D=campaign&amp;start=0&amp;length=10&amp;search%5Bvalue%5D=&amp;search%5Bregex%5D=false&amp;_=1741401690457</t>
  </si>
  <si>
    <t>03/11/2025 15:57:04</t>
  </si>
  <si>
    <t>https://tiket-gratis-dev.pelni.co.id/office/mutis-verification/data?draw=1&amp;columns%5B0%5D%5Bdata%5D=campaign&amp;columns%5B0%5D%5Bname%5D=campaign&amp;columns%5B0%5D%5Bsearchable%5D=true&amp;columns%5B0%5D%5Borderable%5D=true&amp;columns%5B0%5D%5Bsearch%5D%5Bvalue%5D=&amp;columns%5B0%5D%5Bsearch%5D%5Bregex%5D=false&amp;columns%5B1%5D%5Bdata%5D=kapal_voyage&amp;columns%5B1%5D%5Bname%5D=kapal_voyage&amp;columns%5B1%5D%5Bsearchable%5D=true&amp;columns%5B1%5D%5Borderable%5D=true&amp;columns%5B1%5D%5Bsearch%5D%5Bvalue%5D=&amp;columns%5B1%5D%5Bsearch%5D%5Bregex%5D=false&amp;columns%5B2%5D%5Bdata%5D=org_des&amp;columns%5B2%5D%5Bname%5D=org_des&amp;columns%5B2%5D%5Bsearchable%5D=true&amp;columns%5B2%5D%5Borderable%5D=true&amp;columns%5B2%5D%5Bsearch%5D%5Bvalue%5D=&amp;columns%5B2%5D%5Bsearch%5D%5Bregex%5D=false&amp;columns%5B3%5D%5Bdata%5D=started_at&amp;columns%5B3%5D%5Bname%5D=started_at&amp;columns%5B3%5D%5Bsearchable%5D=true&amp;columns%5B3%5D%5Borderable%5D=true&amp;columns%5B3%5D%5Bsearch%5D%5Bvalue%5D=&amp;columns%5B3%5D%5Bsearch%5D%5Bregex%5D=false&amp;columns%5B4%5D%5Bdata%5D=ended_at&amp;columns%5B4%5D%5Bname%5D=ended_at&amp;columns%5B4%5D%5Bsearchable%5D=true&amp;columns%5B4%5D%5Borderable%5D=true&amp;columns%5B4%5D%5Bsearch%5D%5Bvalue%5D=&amp;columns%5B4%5D%5Bsearch%5D%5Bregex%5D=false&amp;columns%5B5%5D%5Bdata%5D=terisi&amp;columns%5B5%5D%5Bname%5D=terisi&amp;columns%5B5%5D%5Bsearchable%5D=false&amp;columns%5B5%5D%5Borderable%5D=false&amp;columns%5B5%5D%5Bsearch%5D%5Bvalue%5D=&amp;columns%5B5%5D%5Bsearch%5D%5Bregex%5D=false&amp;columns%5B6%5D%5Bdata%5D=aksi&amp;columns%5B6%5D%5Bname%5D=aksi&amp;columns%5B6%5D%5Bsearchable%5D=false&amp;columns%5B6%5D%5Borderable%5D=false&amp;columns%5B6%5D%5Bsearch%5D%5Bvalue%5D=&amp;columns%5B6%5D%5Bsearch%5D%5Bregex%5D=false&amp;order%5B0%5D%5Bcolumn%5D=0&amp;order%5B0%5D%5Bdir%5D=asc&amp;order%5B0%5D%5Bname%5D=campaign&amp;start=0&amp;length=10&amp;search%5Bvalue%5D=&amp;search%5Bregex%5D=false&amp;_=1741401690459</t>
  </si>
  <si>
    <t>03/11/2025 15:57:10</t>
  </si>
  <si>
    <t>judul</t>
  </si>
  <si>
    <t xml:space="preserve">XSS Stored </t>
  </si>
  <si>
    <t>Cross Site Scripting (XSS)</t>
  </si>
  <si>
    <t>CVSS:3.0/AV:N/AC:L/PR:H/UI:R/S:C/C:L/I:H/A:L</t>
  </si>
  <si>
    <t>03/11/2025 16:49:44</t>
  </si>
  <si>
    <t>OWASP</t>
  </si>
  <si>
    <t>pilih kapal</t>
  </si>
  <si>
    <t>03/11/2025 16:49:56</t>
  </si>
  <si>
    <t>https://tiket-gratis-dev.pelni.co.id/daftar-tiket-gratis/9e4d828c-5d35-4a11-995c-4dc55ea68fc6</t>
  </si>
  <si>
    <t>XSS Stored to Account Takeover</t>
  </si>
  <si>
    <t>CVSS:3.1/AV:N/AC:L/PR:N/UI:R/S:C/C:H/I:H/A:H</t>
  </si>
  <si>
    <t>03/11/2025 15:56:54</t>
  </si>
  <si>
    <t>https://tiket-gratis-dev.pelni.co.id/</t>
  </si>
  <si>
    <t>Handle error 405</t>
  </si>
  <si>
    <t>03/11/2025 15:56:22</t>
  </si>
  <si>
    <t>Corporate Web</t>
  </si>
  <si>
    <t>https://pelni.co.id/cfind/source/files/asset-darat/pt%20pelnibukti%20pemesanan%20tiket%20online%208824760891%201.pdf</t>
  </si>
  <si>
    <t>CVSS:3.1/AV:N/AC:L/PR:N/UI:R/S:U/C:H/I:H/A:H</t>
  </si>
  <si>
    <t>Week 2</t>
  </si>
  <si>
    <t>04/08/2025 16:02:03</t>
  </si>
  <si>
    <t>Sinar</t>
  </si>
  <si>
    <t>https://sinar.pelni.co.id/</t>
  </si>
  <si>
    <t>Missing G-Capthca Protection</t>
  </si>
  <si>
    <t>Security Misconfiguration</t>
  </si>
  <si>
    <t>CVSS:3.1/AV:N/AC:L/PR:N/UI:N/S:C/C:N/I:L/A:N</t>
  </si>
  <si>
    <t>04/09/2025 10:57:12</t>
  </si>
  <si>
    <t>Karir</t>
  </si>
  <si>
    <t>https://karir.pelni.co.id/job-list?perusahaan=1&amp;jns_karir=L&amp;mnt_karir=2</t>
  </si>
  <si>
    <t>Sensitive Information Disclosure Mail Takeover</t>
  </si>
  <si>
    <t>04/08/2025 16:02:05</t>
  </si>
  <si>
    <t>Broken Authentication</t>
  </si>
  <si>
    <t>Winona</t>
  </si>
  <si>
    <t>https://winona.pelni.co.id/.vscode/launch.json</t>
  </si>
  <si>
    <t>04/09/2025 11:20:20</t>
  </si>
  <si>
    <t>Pelni Assets</t>
  </si>
  <si>
    <t>Clickjacking</t>
  </si>
  <si>
    <t>CVSS:3.1/AV:N/AC:L/PR:N/UI:R/S:C/C:N/I:L/A:N</t>
  </si>
  <si>
    <t>04/23/2025 15:20:27</t>
  </si>
  <si>
    <t>XML External Entities (XXE)</t>
  </si>
  <si>
    <t>joget</t>
  </si>
  <si>
    <t>https://joget.pelni.co.id/jw/web/userview/internal/pelni_commerce/_/pwaoffline</t>
  </si>
  <si>
    <t>Broken Access Control</t>
  </si>
  <si>
    <t>PMS</t>
  </si>
  <si>
    <t>https://pms.pelni.co.id/info.php</t>
  </si>
  <si>
    <t>PHPInfo Disclosure</t>
  </si>
  <si>
    <t>CVSS:3.1/AV:N/AC:L/PR:N/UI:R/S:C/C:L/I:L/A:L</t>
  </si>
  <si>
    <t>Insecure  Deserialization</t>
  </si>
  <si>
    <t>https://tiket.pelni.co.id/</t>
  </si>
  <si>
    <t>CVSS:3.1/AV:N/AC:H/PR:N/UI:N/S:C/C:N/I:L/A:N</t>
  </si>
  <si>
    <t>agencies</t>
  </si>
  <si>
    <t>https://agencies.pelni.co.id/</t>
  </si>
  <si>
    <t>Kapal Dev</t>
  </si>
  <si>
    <t>https://pms-kapaldev.pelni.co.id/resend-activate-account</t>
  </si>
  <si>
    <t>Customers</t>
  </si>
  <si>
    <t>https://customers.pelni.co.id/</t>
  </si>
  <si>
    <t>CVSS:3.1/AV:N/AC:H/PR:N/UI:N/S:U/C:L/I:N/A:N</t>
  </si>
  <si>
    <t>https://pelni.co.id/jadwal-perintis-cargo</t>
  </si>
  <si>
    <t>https://pms-kapaldev.pelni.co.id/login</t>
  </si>
  <si>
    <t xml:space="preserve">Console Debug Enable </t>
  </si>
  <si>
    <t>CVSS:3.1/AV:N/AC:L/PR:N/UI:R/S:U/C:L/I:L/A:N</t>
  </si>
  <si>
    <t>Eproc</t>
  </si>
  <si>
    <t>https://eproc-extranet-dev.pelni.co.id/</t>
  </si>
  <si>
    <t>CIS</t>
  </si>
  <si>
    <t>https://cis.pelni.co.id/login/authLogin</t>
  </si>
  <si>
    <t>WEEK</t>
  </si>
  <si>
    <t>https://www.pelni.co.id/</t>
  </si>
  <si>
    <t>Tiket Gratis</t>
  </si>
  <si>
    <t>Camar</t>
  </si>
  <si>
    <t>https://camar.pelni.co.id/logincamar/</t>
  </si>
  <si>
    <t>PPID</t>
  </si>
  <si>
    <t>http://ppid.pelni.co.id/wp-content/plugins/elementor/</t>
  </si>
  <si>
    <t>Elementor Page Builder &lt; 1.8.0 - Authenticated Unrestricted Editing</t>
  </si>
  <si>
    <t>Week 3</t>
  </si>
  <si>
    <t>Elementor Page Builder &lt; 2.8.5 - Authenticated Reflected XSS</t>
  </si>
  <si>
    <t>Week 4</t>
  </si>
  <si>
    <t>Penyunting Text</t>
  </si>
  <si>
    <t>Elementor Page Builder &lt; 2.7.7 - Authenticated Stored XSS</t>
  </si>
  <si>
    <t>05/21/2025 11:17:23</t>
  </si>
  <si>
    <t>Week 5</t>
  </si>
  <si>
    <t>Joget</t>
  </si>
  <si>
    <t>Elementor Page Builder &lt; 2.9.6 - Authenticated Safe Mode Privilege Escalation</t>
  </si>
  <si>
    <t>05/21/2025 11:17:16</t>
  </si>
  <si>
    <t>Week 6</t>
  </si>
  <si>
    <t>Elementor &lt; 2.9.8 - SVG Sanitizer Bypass leading to Authenticated Stored XSS</t>
  </si>
  <si>
    <t>05/21/2025 11:17:17</t>
  </si>
  <si>
    <t>Week 7</t>
  </si>
  <si>
    <t>Agencies</t>
  </si>
  <si>
    <t>Elementor &lt; 2.7.5 - Authenticated Arbitrary File Upload</t>
  </si>
  <si>
    <t>Week 8</t>
  </si>
  <si>
    <t>05/21/2025 11:17:41</t>
  </si>
  <si>
    <t>Week 9</t>
  </si>
  <si>
    <t>05/21/2025 11:17:43</t>
  </si>
  <si>
    <t>Week 10</t>
  </si>
  <si>
    <t>EProc</t>
  </si>
  <si>
    <t>CVSS:3.1/AV:N/AC:H/PR:N/UI:R/S:C/C:L/I:N/A:N</t>
  </si>
  <si>
    <t>05/21/2025 11:17:49</t>
  </si>
  <si>
    <t>Week 11</t>
  </si>
  <si>
    <t xml:space="preserve">Bulan ke2 </t>
  </si>
  <si>
    <t>Week 12</t>
  </si>
  <si>
    <t>arya =&gt;</t>
  </si>
  <si>
    <t>Elementor Page Builder &lt; 2.8.4 - Cross-Site Scripting (XSS)</t>
  </si>
  <si>
    <t>04/25/2025 20:51:10</t>
  </si>
  <si>
    <t>Week 13</t>
  </si>
  <si>
    <t>nanda =&gt;</t>
  </si>
  <si>
    <t>Elementor &lt; 3.1.4 - Authenticated Stored Cross-Site Scripting (XSS) in Column Element</t>
  </si>
  <si>
    <t>Week 14</t>
  </si>
  <si>
    <t>Elementor &lt; 3.1.4 - Authenticated Stored Cross-Site Scripting (XSS) in Heading Widget</t>
  </si>
  <si>
    <t>04/23/2025 14:39:49</t>
  </si>
  <si>
    <t>Devel</t>
  </si>
  <si>
    <t>Elementor &lt; 3.1.4 - Authenticated Stored Cross-Site Scripting (XSS) in Divider Widget</t>
  </si>
  <si>
    <t>Elementor &lt; 3.1.4 - Authenticated Stored Cross-Site Scripting (XSS) in Accordion Widget</t>
  </si>
  <si>
    <t>03/26/2025 11:36:09</t>
  </si>
  <si>
    <t>Elementor &lt; 3.1.4 - Authenticated Stored Cross-Site Scripting (XSS) in Icon Box Widget</t>
  </si>
  <si>
    <t>Elementor &lt; 3.1.4 - Authenticated Stored Cross-Site Scripting (XSS) in Image Box Widget</t>
  </si>
  <si>
    <t>04/25/2025 20:52:57</t>
  </si>
  <si>
    <t>Elementor &lt; 3.4.8 - DOM Cross-Site-Scripting</t>
  </si>
  <si>
    <t>Elementor 3.6.0-3.6.2 - Subscriber+ Arbitrary File Upload</t>
  </si>
  <si>
    <t>Elementor &lt; 3.5.6 - DOM Reflected Cross-Site Scripting</t>
  </si>
  <si>
    <t>05/21/2025 11:17:56</t>
  </si>
  <si>
    <t>Elementor Website Builder &lt; 3.12.2 - Admin+ SQLi</t>
  </si>
  <si>
    <t>Elementor Website Builder &lt; 3.13.2 - Missing Authorization</t>
  </si>
  <si>
    <t>05/21/2025 11:17:59</t>
  </si>
  <si>
    <t>Elementor &lt; 3.5.5 - Iframe Injection</t>
  </si>
  <si>
    <t>Elementor Website Builder &lt; 3.16.5 - Authenticated (Contributor+) Stored Cross-Site Scripting via get_inline_svg()</t>
  </si>
  <si>
    <t>05/21/2025 11:18:01</t>
  </si>
  <si>
    <t>Elementor Website Builder &lt; 3.16.5 - Missing Authorization to Arbitrary Attachment Read</t>
  </si>
  <si>
    <t>Elementor &lt; 3.18.2 - Contributor+ Arbitrary File Upload to RCE via Template Import</t>
  </si>
  <si>
    <t>05/21/2025 11:18:04</t>
  </si>
  <si>
    <t>Elementor &lt; 3.19.1 - Authenticated(Contributor+) Arbitrary File Deletion and PHAR Deserialization</t>
  </si>
  <si>
    <t>05/21/2025 11:18:06</t>
  </si>
  <si>
    <t>Elementor Website Builder – More than Just a Page Builder &lt; 3.19.0 - Authenticated (Contributor+) Stored Cross-Site Scripting via get_image_alt</t>
  </si>
  <si>
    <t>05/21/2025 11:18:07</t>
  </si>
  <si>
    <t>Elementor Website Builder &lt; 3.20.3 - Contributor+ DOM Stored XSS</t>
  </si>
  <si>
    <t>05/21/2025 11:18:10</t>
  </si>
  <si>
    <t>Elementor Website Builder &lt; 3.21.6 - Contributor+ DOM Stored XSS</t>
  </si>
  <si>
    <t>05/21/2025 11:18:12</t>
  </si>
  <si>
    <t>Elementor Website Builder &lt; 3.22.2 - Contributor+ Arbitrary SVG Download</t>
  </si>
  <si>
    <t>05/21/2025 11:18:13</t>
  </si>
  <si>
    <t>Elementor Website Builder – More than Just a Page Builder &lt; 3.24.0 - Authenticated (Contributor+) Stored Cross-Site Scripting in the URL Parameter in Multiple Widgets</t>
  </si>
  <si>
    <t>05/21/2025 11:18:19</t>
  </si>
  <si>
    <t>Elementor &lt; 3.24.6 - Contributor+ Information Exposure via get_image_alt</t>
  </si>
  <si>
    <t>Elementor Website Builder &lt; 3.25.8 - Contributor+ Stored XSS</t>
  </si>
  <si>
    <t>Elementor Website Builder &lt; 3.25.10 - Contributor+ Stored XSS via Typography Settings</t>
  </si>
  <si>
    <t>Elementor Website Builder &lt; 3.27.5 - Contributor+ Stored XSS</t>
  </si>
  <si>
    <t>03/27/2025 14:00:36</t>
  </si>
  <si>
    <t>Di Title</t>
  </si>
  <si>
    <t>Elementor Website Builder &lt; 3.25.11 - Contributor+ Stored XSS</t>
  </si>
  <si>
    <t>03/27/2025 13:36:55</t>
  </si>
  <si>
    <t>https://ppid.pelni.co.id/</t>
  </si>
  <si>
    <t>ClickJacking</t>
  </si>
  <si>
    <t>CVSS:3.1/AV:N/AC:L/PR:L/UI:N/S:U/C:L/I:L/A:N</t>
  </si>
  <si>
    <t>Progress</t>
  </si>
  <si>
    <t>06/26/2025 11:31:15</t>
  </si>
  <si>
    <t>https://ppid-dev.pelni.co.id/wp-content/plugins/akismet/</t>
  </si>
  <si>
    <t xml:space="preserve">Title: </t>
  </si>
  <si>
    <t>Akismet 2.5.0-3.1.4 - Unauthenticated Stored Cross-Site Scripting (XSS)</t>
  </si>
  <si>
    <t>06/26/2025 11:31:18</t>
  </si>
  <si>
    <t>https://ppid-dev.pelni.co.id/wp-content/plugins/all-in-one-wp-migration/, status: 403</t>
  </si>
  <si>
    <t>Title: All in One WP Migration &lt; 7.90 - Unauthenticated PHP Object Injection</t>
  </si>
  <si>
    <t>CVSS:3.1/AV:N/AC:H/PR:L/UI:R/S:C/C:H/I:H/A:H</t>
  </si>
  <si>
    <t>06/26/2025 11:31:40</t>
  </si>
  <si>
    <t>https://ppid-dev.pelni.co.id/wp-content/plugins/elementor/</t>
  </si>
  <si>
    <t>Title: Elementor Website Builder &lt; 3.27.5 - Contributor+ Stored XSS</t>
  </si>
  <si>
    <t>04/15/2025 10:43:47</t>
  </si>
  <si>
    <t>KARIR</t>
  </si>
  <si>
    <t>https://karir.pelni.co.id/api/notif/134377</t>
  </si>
  <si>
    <t>Method GET</t>
  </si>
  <si>
    <t>IDOR ( Insecure Direct Object Reference )</t>
  </si>
  <si>
    <t>Broken Acess Control</t>
  </si>
  <si>
    <t>06/26/2025 11:31:42</t>
  </si>
  <si>
    <t>Method DELETE</t>
  </si>
  <si>
    <t>Broken Access Control to Privilage Escalation</t>
  </si>
  <si>
    <t>https://karir.pelni.co.id/</t>
  </si>
  <si>
    <t>Missing X-Frame-Options</t>
  </si>
  <si>
    <t>06/26/2025 11:31:19</t>
  </si>
  <si>
    <t>AGENCIES</t>
  </si>
  <si>
    <t>https://agencies.pelni.co.id/.login</t>
  </si>
  <si>
    <t>06/26/2025 11:31:22</t>
  </si>
  <si>
    <t>https://mx.pelni.co.id/</t>
  </si>
  <si>
    <t>Boarding Pass</t>
  </si>
  <si>
    <t>https://boarding-pass.pelni.co.id/.git/index</t>
  </si>
  <si>
    <t>Path Information Disclosure</t>
  </si>
  <si>
    <t>06/26/2025 11:31:23</t>
  </si>
  <si>
    <t xml:space="preserve">Sensitive Path Information Disclosure </t>
  </si>
  <si>
    <t>06/26/2025 11:31:43</t>
  </si>
  <si>
    <t>Uat Interface</t>
  </si>
  <si>
    <t>https://uat-interface.pelni.co.id/.git/config</t>
  </si>
  <si>
    <t>04/17/2025 11:35:27</t>
  </si>
  <si>
    <t>https://uat-interface.pelni.co.id/.git/index</t>
  </si>
  <si>
    <t>06/26/2025 11:31:45</t>
  </si>
  <si>
    <t>https://karir.pelni.co.id/applicant/data-diri?tab=data</t>
  </si>
  <si>
    <t>Upload CV No validasi File</t>
  </si>
  <si>
    <t>Unrestricted File Upload</t>
  </si>
  <si>
    <t>04/22/2025 13:27:54</t>
  </si>
  <si>
    <t>https://karir.pelni.co.id/applicant/data-diri?tab=upload_dokumen</t>
  </si>
  <si>
    <t>Upload Foto No Validasi file</t>
  </si>
  <si>
    <t>04/22/2025 13:28:17</t>
  </si>
  <si>
    <t>Upload KTP No Validasi file</t>
  </si>
  <si>
    <t>04/22/2025 13:27:09</t>
  </si>
  <si>
    <t>bulan 3</t>
  </si>
  <si>
    <t>Upload KK No Validasi file</t>
  </si>
  <si>
    <t>04/24/2025 15:54:07</t>
  </si>
  <si>
    <t>https://karir.pelni.co.id/applicant/data-diri?tab=pendidikandarat</t>
  </si>
  <si>
    <t>Upload Ijazah No Validasi File</t>
  </si>
  <si>
    <t>04/22/2025 13:27:11</t>
  </si>
  <si>
    <t>Upload Nilai No Validasi File</t>
  </si>
  <si>
    <t>04/22/2025 13:27:28</t>
  </si>
  <si>
    <t>06/26/2025 11:31:46</t>
  </si>
  <si>
    <t>Method POST Update data</t>
  </si>
  <si>
    <t>06/26/2025 11:31:47</t>
  </si>
  <si>
    <t>https://karir.pelni.co.id/applicant/data-diri?tab=bahasa</t>
  </si>
  <si>
    <t>Upload Sertificate No validasi File</t>
  </si>
  <si>
    <t>04/22/2025 13:27:04</t>
  </si>
  <si>
    <t>06/26/2025 11:31:48</t>
  </si>
  <si>
    <t>06/26/2025 11:31:49</t>
  </si>
  <si>
    <t>https://karir.pelni.co.id/applicant/data-diri?tab=pengalamandarat</t>
  </si>
  <si>
    <t>Upload Surat Keluar No validasi data</t>
  </si>
  <si>
    <t>04/22/2025 13:27:33</t>
  </si>
  <si>
    <t>06/26/2025 11:31:50</t>
  </si>
  <si>
    <t>06/26/2025 11:31:51</t>
  </si>
  <si>
    <t>https://ppid.pelni.co.id/wp-content/plugins/wp-table-builder</t>
  </si>
  <si>
    <t>WP Table Builder &lt;= 1.5.0 - Admin+ Stored XSS</t>
  </si>
  <si>
    <t>CVSS:3.1/AV:N/AC:L/PR:H/UI:R/S:C/C:L/I:N/A:N</t>
  </si>
  <si>
    <t>04/23/2025 09:16:30</t>
  </si>
  <si>
    <t>WP Table Builder &lt;= 2.0.4 - Reflected Cross-Site Scripting</t>
  </si>
  <si>
    <t>CVSS:3.1/AV:N/AC:L/PR:N/UI:R/S:C/C:L/I:L/A:N</t>
  </si>
  <si>
    <t>04/23/2025 09:16:40</t>
  </si>
  <si>
    <t>https://winona.pelni.co.id/katalog/detail?product=166</t>
  </si>
  <si>
    <t>&lt;script&gt;alert(1)&lt;/script&gt;</t>
  </si>
  <si>
    <t>XSS (Cross Site Scriptingg)</t>
  </si>
  <si>
    <t>04/23/2025 10:20:11</t>
  </si>
  <si>
    <t>Hotel Bahtera</t>
  </si>
  <si>
    <t>https://hotel-bahtera.pelni.co.id/admin/modules/booking/booking/get_customer.php</t>
  </si>
  <si>
    <t>id=22</t>
  </si>
  <si>
    <t>IDOR to Information Sensitive</t>
  </si>
  <si>
    <t>06/26/2025 11:31:55</t>
  </si>
  <si>
    <t>https://hotel-bahtera.pelni.co.id/</t>
  </si>
  <si>
    <t>X-Powered-By: PHP/7.3.24</t>
  </si>
  <si>
    <t>Information PHP version Dislocusre</t>
  </si>
  <si>
    <t>04/23/2025 11:23:36</t>
  </si>
  <si>
    <t>Procurement</t>
  </si>
  <si>
    <t>https://procurement.pelni.co.id/welcome/phpinfo</t>
  </si>
  <si>
    <t>PHPinfo</t>
  </si>
  <si>
    <t>PhpInfo Sensitive Information Disclosure</t>
  </si>
  <si>
    <t>06/26/2025 09:41:33</t>
  </si>
  <si>
    <t>https://karir.pelni.co.id/applicant/data-diri</t>
  </si>
  <si>
    <t>Id Minat Carier</t>
  </si>
  <si>
    <t>06/26/2025 11:31:56</t>
  </si>
  <si>
    <t>Id Uji Kemampuan</t>
  </si>
  <si>
    <t>06/26/2025 11:31:57</t>
  </si>
  <si>
    <t xml:space="preserve"> https://ppid.pelni.co.id/wp-content/plugins/akismet/</t>
  </si>
  <si>
    <t>Title: Akismet 2.5.0-3.1.4 - Unauthenticated Stored Cross-Site Scripting (XSS)</t>
  </si>
  <si>
    <t>04/29/2025 11:04:58</t>
  </si>
  <si>
    <t>https://ppid.pelni.co.id/wp-content/plugins/prevent-direct-access/</t>
  </si>
  <si>
    <t>Prevent Direct Access 2.8.6 - 2.8.8.2 - Incorrect Authorization to Authenticated (Contributor+) Multiple Media Actions</t>
  </si>
  <si>
    <t>04/29/2025 11:06:09</t>
  </si>
  <si>
    <t>https://ppid.pelni.co.id/wp-content/plugins/wp-table-builder/</t>
  </si>
  <si>
    <t>04/29/2025 11:07:21</t>
  </si>
  <si>
    <t xml:space="preserve"> WP Table Builder &lt; 2.0.6 - Reflected Cross-Site Scripting</t>
  </si>
  <si>
    <t>06/26/2025 11:31:58</t>
  </si>
  <si>
    <t>CAMAR</t>
  </si>
  <si>
    <t>https://camar.pelni.co.id/wp-content/plugins/all-in-one-wp-migration/</t>
  </si>
  <si>
    <t>All in One WP Migration &lt; 7.90 - Unauthenticated PHP Object Injection</t>
  </si>
  <si>
    <t>DEVEL</t>
  </si>
  <si>
    <t>https://devel.pelni.co.id/ess/biodata</t>
  </si>
  <si>
    <t>get_cmb_provinsi/_ktp   ID_Country</t>
  </si>
  <si>
    <t>06/26/2025 09:42:09</t>
  </si>
  <si>
    <t>get_cmb_provinsi/_ktp    id_provinsi</t>
  </si>
  <si>
    <t>06/26/2025 09:42:13</t>
  </si>
  <si>
    <t>get_cmb_provinsi/_dom    ID_Country</t>
  </si>
  <si>
    <t>get_cmb_district/_ktp    id_regencies</t>
  </si>
  <si>
    <t>get_cmb_regencies/_dom     id_provinsi</t>
  </si>
  <si>
    <t>get_cmb_village/_ktp    id_district</t>
  </si>
  <si>
    <t>https://devel.pelni.co.id/Health_report/input_penunjang</t>
  </si>
  <si>
    <t>start_date</t>
  </si>
  <si>
    <t xml:space="preserve">get_keluarga_table/11848 </t>
  </si>
  <si>
    <t>update_keluarga/170590441</t>
  </si>
  <si>
    <t>https://devel.pelni.co.id/welcome/health</t>
  </si>
  <si>
    <t>get_covid_assessment_filtered,  start_date=</t>
  </si>
  <si>
    <t>get_covid_assessment_rekap,  start_date=</t>
  </si>
  <si>
    <t>get_health_chart,  start_date=</t>
  </si>
  <si>
    <t>https://devel.pelni.co.id/Health_report/covid_assessment_new</t>
  </si>
  <si>
    <t>select2_unit ,  param=</t>
  </si>
  <si>
    <t>get_cmb_village/_dom,  id_district</t>
  </si>
  <si>
    <t>https://devel.pelni.co.id/perintis/perintis_tarif/pdf_tarif/1</t>
  </si>
  <si>
    <t>https://devel.pelni.co.id/perintis/perintis_tarif_muatan/detail_tarif_muatan/98</t>
  </si>
  <si>
    <t>Prevent bedasarkan role posisi</t>
  </si>
  <si>
    <t>IDOR</t>
  </si>
  <si>
    <t>https://devel.pelni.co.id/perintis/perintis_tarif_muatan/pdf_tarif_muatan/98</t>
  </si>
  <si>
    <t>https://devel.pelni.co.id/ess/absensi</t>
  </si>
  <si>
    <t>https://devel.pelni.co.id/spj/pegawai/approval</t>
  </si>
  <si>
    <t>https://devel.pelni.co.id/perintis/perintis_tarif/excel_tarif/839</t>
  </si>
  <si>
    <t>https://devel.pelni.co.id/perintis/perintis_tarif/pdf_tarif/839</t>
  </si>
  <si>
    <t>https://devel.pelni.co.id/perintis/perintis_tarif/detail_tarif/839</t>
  </si>
  <si>
    <t>https://devel.pelni.co.id/perintis/perintis_tarif/detail_tarif_jadwal/5726</t>
  </si>
  <si>
    <t>https://devel.pelni.co.id/perintis/perintis_tarif/tarif_add_form#</t>
  </si>
  <si>
    <t>Tarif seharusnya tidak bisa di edit, tetapi di body requst bisa di manipulasi</t>
  </si>
  <si>
    <t>Buisneese Logic Error</t>
  </si>
  <si>
    <t>https://devel.pelni.co.id/ess/pms_pc?=&amp;limit=5</t>
  </si>
  <si>
    <t>https://devel.pelni.co.id/tts/itsupport</t>
  </si>
  <si>
    <t>userID=</t>
  </si>
  <si>
    <t>06/26/2025 09:32:00</t>
  </si>
  <si>
    <t>kategori_tiket=</t>
  </si>
  <si>
    <t>06/26/2025 09:32:08</t>
  </si>
  <si>
    <t>ticket=</t>
  </si>
  <si>
    <t>https://devel.pelni.co.id/ess/mutasi/add_mutasi</t>
  </si>
  <si>
    <t>flag_level=</t>
  </si>
  <si>
    <t>param=</t>
  </si>
  <si>
    <t>https://devel.pelni.co.id/hrm/manajemen_sk_organisasi</t>
  </si>
  <si>
    <t>ttps://devel.pelni.co.id/hrm/organisasi/nomenklatur</t>
  </si>
  <si>
    <t>https://devel.pelni.co.id/hrm/organisasi</t>
  </si>
  <si>
    <t>start=</t>
  </si>
  <si>
    <t>https://devel.pelni.co.id/hrm/manajemen_sk_jabatan</t>
  </si>
  <si>
    <t>https://devel.pelni.co.id/hrm/jabatan</t>
  </si>
  <si>
    <t>https://devel.pelni.co.id/hrm/jabatan/nomjabatan</t>
  </si>
  <si>
    <t>https://devel.pelni.co.id/hrm/jabatan/kelompok</t>
  </si>
  <si>
    <t>https://devel.pelni.co.id/ess/inquiry</t>
  </si>
  <si>
    <t>agama=</t>
  </si>
  <si>
    <t>tempat_lahir=</t>
  </si>
  <si>
    <t>jenis_kelamin=</t>
  </si>
  <si>
    <t>sk_aktif=</t>
  </si>
  <si>
    <t>https://devel.pelni.co.id/ess/kontrak</t>
  </si>
  <si>
    <t>https://devel.pelni.co.id/ess/kontrak/list_request</t>
  </si>
  <si>
    <t>https://devel.pelni.co.id/hrm/riwayatkesehatan</t>
  </si>
  <si>
    <t>https://devel.pelni.co.id/hrm/riwayatkesehatan/mcu</t>
  </si>
  <si>
    <t>https://devel.pelni.co.id/ess/kesejahteraan/ktp</t>
  </si>
  <si>
    <t>https://devel.pelni.co.id/ess/kesejahteraan/bpjs</t>
  </si>
  <si>
    <t>https://devel.pelni.co.id/ess/kesejahteraan/bpjstk</t>
  </si>
  <si>
    <t>https://devel.pelni.co.id/ess/kesejahteraan/npwp</t>
  </si>
  <si>
    <t>Progress Arya</t>
  </si>
  <si>
    <t>https://devel.pelni.co.id/ess/kesejahteraan/rekening</t>
  </si>
  <si>
    <t>https://devel.pelni.co.id/ess/mpp/buat</t>
  </si>
  <si>
    <t>https://devel.pelni.co.id/ess/mpp/approve</t>
  </si>
  <si>
    <t>https://devel.pelni.co.id/ess/mutasi</t>
  </si>
  <si>
    <t>05/27/2025 11:44:51</t>
  </si>
  <si>
    <t>https://devel.pelni.co.id/ess/mutasi_sementara</t>
  </si>
  <si>
    <t>https://devel.pelni.co.id/ess/mutasi_otomatis</t>
  </si>
  <si>
    <t>https://devel.pelni.co.id/ess/mutasi/list_approval</t>
  </si>
  <si>
    <t>https://devel.pelni.co.id/ess/hukumanpenghargaan</t>
  </si>
  <si>
    <t>https://devel.pelni.co.id/ess/pengaturan</t>
  </si>
  <si>
    <t>get_period_table, search[value]=</t>
  </si>
  <si>
    <t>get_catalog_table, search[value]=</t>
  </si>
  <si>
    <t>https://devel.pelni.co.id/personalia/personalia</t>
  </si>
  <si>
    <t>06/26/2025 09:34:19</t>
  </si>
  <si>
    <t>https://devel.pelni.co.id/crm/Workforce</t>
  </si>
  <si>
    <t>https://devel.pelni.co.id/emutasi/pengaturan/kategori/darat</t>
  </si>
  <si>
    <t>tempat_asal=</t>
  </si>
  <si>
    <t>https://devel.pelni.co.id/emutasi/pengaturan/get_kategori_table</t>
  </si>
  <si>
    <t>tempat_tujuan=</t>
  </si>
  <si>
    <t>06/26/2025 10:08:21</t>
  </si>
  <si>
    <t>spesifikasi_tujuan=</t>
  </si>
  <si>
    <t>status=</t>
  </si>
  <si>
    <t>https://devel.pelni.co.id/emutasi/pengaturan/jenis/darat</t>
  </si>
  <si>
    <t>penempatan=</t>
  </si>
  <si>
    <t>jenis_mutasi=</t>
  </si>
  <si>
    <t>status_kewenangan=</t>
  </si>
  <si>
    <t>kode_surat=</t>
  </si>
  <si>
    <t>https://devel.pelni.co.id/emutasi/pengaturan/kategori/laut</t>
  </si>
  <si>
    <t>nama_kategori=</t>
  </si>
  <si>
    <t>https://devel.pelni.co.id/emutasi/pengaturan/jenis/laut</t>
  </si>
  <si>
    <t>05/14/2025 11:41:23</t>
  </si>
  <si>
    <t>https://devel.pelni.co.id/emutasi/proses/buat/darat</t>
  </si>
  <si>
    <t>05/14/2025 11:41:33</t>
  </si>
  <si>
    <t>utk_kode_tujuan=</t>
  </si>
  <si>
    <t>https://devel.pelni.co.id/emutasi/proses/daftar/darat</t>
  </si>
  <si>
    <t>jenis_mutas=</t>
  </si>
  <si>
    <t>perihal=</t>
  </si>
  <si>
    <t>https://devel.pelni.co.id/emutasi/proses/cari/darat</t>
  </si>
  <si>
    <t>05/15/2025 14:17:48</t>
  </si>
  <si>
    <t>https://devel.pelni.co.id/emutasi/proses/buat/laut</t>
  </si>
  <si>
    <t>05/15/2025 14:31:56</t>
  </si>
  <si>
    <t>https://devel.pelni.co.id/emutasi/proses/daftar/laut</t>
  </si>
  <si>
    <t>https://devel.pelni.co.id/projects</t>
  </si>
  <si>
    <t>PHP Information Disclosure</t>
  </si>
  <si>
    <t>05/15/2025 14:17:44</t>
  </si>
  <si>
    <t>06/26/2025 09:32:13</t>
  </si>
  <si>
    <t>05/15/2025 14:17:56</t>
  </si>
  <si>
    <t>06/26/2025 09:32:15</t>
  </si>
  <si>
    <t>https://devel.pelni.co.id/hrm/tambahpegawai_penunjang</t>
  </si>
  <si>
    <t>upload KTP</t>
  </si>
  <si>
    <t>05/15/2025 14:17:58</t>
  </si>
  <si>
    <t>https://devel.pelni.co.id/ess/inquiry_penunjang</t>
  </si>
  <si>
    <t>nrp_pegawai=</t>
  </si>
  <si>
    <t>06/26/2025 09:33:17</t>
  </si>
  <si>
    <t>nama_pegawai=</t>
  </si>
  <si>
    <t>05/15/2025 15:12:15</t>
  </si>
  <si>
    <t>05/15/2025 14:45:02</t>
  </si>
  <si>
    <t>05/15/2025 14:46:12</t>
  </si>
  <si>
    <t>05/15/2025 14:46:03</t>
  </si>
  <si>
    <t>https://devel.pelni.co.id/ess/kontrak_penunjang</t>
  </si>
  <si>
    <t>05/15/2025 14:48:44</t>
  </si>
  <si>
    <t>https://devel.pelni.co.id/ess/mutasi_penunjang/list_approval</t>
  </si>
  <si>
    <t>search[value]</t>
  </si>
  <si>
    <t>05/15/2025 14:57:52</t>
  </si>
  <si>
    <t>https://devel.pelni.co.id/ess/mutasi_penunjang</t>
  </si>
  <si>
    <t>05/15/2025 15:01:51</t>
  </si>
  <si>
    <t>05/15/2025 15:02:37</t>
  </si>
  <si>
    <t>05/15/2025 15:05:45</t>
  </si>
  <si>
    <t>https://devel.pelni.co.id/ess/inqabsensi</t>
  </si>
  <si>
    <t>PSLH_NRP=</t>
  </si>
  <si>
    <t>05/15/2025 15:11:57</t>
  </si>
  <si>
    <t>PSLH_NAMA=</t>
  </si>
  <si>
    <t>05/15/2025 15:05:17</t>
  </si>
  <si>
    <t>UTK_KODE=</t>
  </si>
  <si>
    <t>05/15/2025 15:05:29</t>
  </si>
  <si>
    <t>id_att_dev=</t>
  </si>
  <si>
    <t>05/15/2025 15:05:32</t>
  </si>
  <si>
    <t>loc_id=</t>
  </si>
  <si>
    <t>05/15/2025 15:10:09</t>
  </si>
  <si>
    <t>https://devel.pelni.co.id/absensi/absensimanual</t>
  </si>
  <si>
    <t>pslh_nrp=</t>
  </si>
  <si>
    <t>05/15/2025 15:11:40</t>
  </si>
  <si>
    <t>utk_kode=</t>
  </si>
  <si>
    <t>05/15/2025 15:11:35</t>
  </si>
  <si>
    <t>jab_kode=</t>
  </si>
  <si>
    <t>05/15/2025 15:11:33</t>
  </si>
  <si>
    <t>upload file excel</t>
  </si>
  <si>
    <t>05/21/2025 09:38:10</t>
  </si>
  <si>
    <t>https://devel.pelni.co.id/emutasi/proses/cari/laut</t>
  </si>
  <si>
    <t>06/26/2025 09:33:23</t>
  </si>
  <si>
    <t>06/26/2025 09:33:27</t>
  </si>
  <si>
    <t>05/21/2025 11:14:07</t>
  </si>
  <si>
    <t>https://devel.pelni.co.id/emutasi/dashboard/darat</t>
  </si>
  <si>
    <t>05/21/2025 11:14:11</t>
  </si>
  <si>
    <t>id_jenis_mutasi=</t>
  </si>
  <si>
    <t>05/21/2025 11:14:29</t>
  </si>
  <si>
    <t>https://devel.pelni.co.id/emutasi/dashboard/laut</t>
  </si>
  <si>
    <t>05/21/2025 11:14:47</t>
  </si>
  <si>
    <t>05/21/2025 11:14:65</t>
  </si>
  <si>
    <t>05/21/2025 11:14:83</t>
  </si>
  <si>
    <t>05/21/2025 11:14:101</t>
  </si>
  <si>
    <t>05/21/2025 11:14:119</t>
  </si>
  <si>
    <t>jabatan_kelompok=</t>
  </si>
  <si>
    <t>05/21/2025 11:14:137</t>
  </si>
  <si>
    <t>05/21/2025 11:14:155</t>
  </si>
  <si>
    <t>05/21/2025 11:14:173</t>
  </si>
  <si>
    <t>05/21/2025 11:14:191</t>
  </si>
  <si>
    <t>05/21/2025 11:14:209</t>
  </si>
  <si>
    <t>05/21/2025 11:14:227</t>
  </si>
  <si>
    <t>05/21/2025 11:14:245</t>
  </si>
  <si>
    <t>05/21/2025 11:14:263</t>
  </si>
  <si>
    <t>https://devel.pelni.co.id/ess/mutasi_penunjang/get_list_request_mutasi</t>
  </si>
  <si>
    <t>Weak 10</t>
  </si>
  <si>
    <t>https://devel.pelni.co.id/emplooi/master/master_kapal/detail_kapal</t>
  </si>
  <si>
    <t>id=</t>
  </si>
  <si>
    <t>Weak 11</t>
  </si>
  <si>
    <t>Weak 12</t>
  </si>
  <si>
    <t>06/26/2025 09:33:31</t>
  </si>
  <si>
    <t>https://devel.pelni.co.id/emplooi/master/master_kapal/edit_kapal</t>
  </si>
  <si>
    <t>IDOR Edit</t>
  </si>
  <si>
    <t>Weak 13</t>
  </si>
  <si>
    <t>https://devel.pelni.co.id/emplooi/master/master_cabang/list_cabang</t>
  </si>
  <si>
    <t>nama_cabang=</t>
  </si>
  <si>
    <t>Weak 14</t>
  </si>
  <si>
    <t>06/26/2025 09:33:33</t>
  </si>
  <si>
    <t>https://devel.pelni.co.id/emplooi/master/master_cabang/detail_cabang</t>
  </si>
  <si>
    <t>Idor detail</t>
  </si>
  <si>
    <t>Weak 15</t>
  </si>
  <si>
    <t>Weak 16</t>
  </si>
  <si>
    <t>IDOR DELETE</t>
  </si>
  <si>
    <t>Weak 17</t>
  </si>
  <si>
    <t>https://devel-interface.pelni.co.id/.git</t>
  </si>
  <si>
    <t>.git</t>
  </si>
  <si>
    <t>data breach disclosure folder .git</t>
  </si>
  <si>
    <t>Weak 18</t>
  </si>
  <si>
    <t>06/13/2025 13:01:56</t>
  </si>
  <si>
    <t>CRM</t>
  </si>
  <si>
    <t>https://crm.pelni.co.id/.git/</t>
  </si>
  <si>
    <t>Weak 19</t>
  </si>
  <si>
    <t>06/13/2025 13:02:00</t>
  </si>
  <si>
    <t>INTERFACE</t>
  </si>
  <si>
    <t>interface.pelni.co.id</t>
  </si>
  <si>
    <t>Weak 20</t>
  </si>
  <si>
    <t>06/13/2025 13:00:08</t>
  </si>
  <si>
    <t>Antrian</t>
  </si>
  <si>
    <t>https://antrian.pelni.co.id/.DS_Store</t>
  </si>
  <si>
    <t>.DS_Store</t>
  </si>
  <si>
    <t>File DS Store downloaded</t>
  </si>
  <si>
    <t>06/18/2025 11:23:37</t>
  </si>
  <si>
    <t>https://antrian.pelni.co.id/auth</t>
  </si>
  <si>
    <t>X-Powered-By: PHP/8.0.7</t>
  </si>
  <si>
    <t>PHP Version Disclosure in header</t>
  </si>
  <si>
    <t>Weak 21</t>
  </si>
  <si>
    <t>06/26/2025 09:36:00</t>
  </si>
  <si>
    <t>04/17/2025 10:40:30</t>
  </si>
  <si>
    <t>04/17/2025 10:40:37</t>
  </si>
  <si>
    <t>Vulnerability Network ( Sort By Priority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</si>
</sst>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40">
    <font>
      <sz val="10.0"/>
      <color rgb="FF000000"/>
      <name val="Arial"/>
      <scheme val="minor"/>
    </font>
    <font>
      <sz val="18.0"/>
      <color rgb="FFFFFFFF"/>
      <name val="Arial"/>
    </font>
    <font>
      <sz val="18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sz val="11.0"/>
      <color rgb="FFFFFFFF"/>
      <name val="&quot;Comic Sans MS&quot;"/>
    </font>
    <font/>
    <font>
      <u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434343"/>
      <name val="Roboto"/>
    </font>
    <font>
      <sz val="11.0"/>
      <color rgb="FF000000"/>
      <name val="&quot;Comic Sans MS&quot;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color rgb="FF000000"/>
      <name val="Arial"/>
      <scheme val="minor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rgb="FFFFCFC9"/>
      <name val="Roboto"/>
    </font>
    <font>
      <color rgb="FFB10202"/>
      <name val="Roboto"/>
    </font>
    <font>
      <color rgb="FF0A53A8"/>
      <name val="Roboto"/>
    </font>
    <font>
      <color rgb="FF753800"/>
      <name val="Roboto"/>
    </font>
    <font>
      <u/>
      <color rgb="FF0000FF"/>
      <name val="Arial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426755"/>
        <bgColor rgb="FF426755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theme="8"/>
        <bgColor theme="8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F9900"/>
      </left>
      <right style="thin">
        <color rgb="FF284E3F"/>
      </right>
      <top style="thin">
        <color rgb="FFFF9900"/>
      </top>
      <bottom style="thin">
        <color rgb="FFFF99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3" fontId="4" numFmtId="0" xfId="0" applyFont="1"/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5" numFmtId="49" xfId="0" applyAlignment="1" applyBorder="1" applyFont="1" applyNumberFormat="1">
      <alignment readingOrder="0" shrinkToFit="0" vertical="center" wrapText="0"/>
    </xf>
    <xf borderId="5" fillId="0" fontId="4" numFmtId="49" xfId="0" applyAlignment="1" applyBorder="1" applyFont="1" applyNumberForma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0" fillId="3" fontId="7" numFmtId="0" xfId="0" applyAlignment="1" applyFont="1">
      <alignment horizontal="center" readingOrder="0" shrinkToFit="0" wrapText="0"/>
    </xf>
    <xf borderId="13" fillId="4" fontId="7" numFmtId="0" xfId="0" applyAlignment="1" applyBorder="1" applyFill="1" applyFont="1">
      <alignment horizontal="center" readingOrder="0" shrinkToFit="0" wrapText="0"/>
    </xf>
    <xf borderId="14" fillId="0" fontId="8" numFmtId="0" xfId="0" applyBorder="1" applyFont="1"/>
    <xf borderId="0" fillId="0" fontId="7" numFmtId="0" xfId="0" applyAlignment="1" applyFont="1">
      <alignment horizontal="center" readingOrder="0" shrinkToFit="0" wrapText="0"/>
    </xf>
    <xf borderId="8" fillId="0" fontId="4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horizontal="left"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4" numFmtId="49" xfId="0" applyAlignment="1" applyBorder="1" applyFont="1" applyNumberFormat="1">
      <alignment horizontal="center" readingOrder="0" shrinkToFit="0" vertical="center" wrapText="0"/>
    </xf>
    <xf borderId="8" fillId="0" fontId="10" numFmtId="49" xfId="0" applyAlignment="1" applyBorder="1" applyFont="1" applyNumberFormat="1">
      <alignment readingOrder="0" shrinkToFit="0" vertical="center" wrapText="0"/>
    </xf>
    <xf borderId="8" fillId="0" fontId="4" numFmtId="49" xfId="0" applyAlignment="1" applyBorder="1" applyFont="1" applyNumberFormat="1">
      <alignment readingOrder="0" shrinkToFit="0" vertical="center" wrapText="0"/>
    </xf>
    <xf borderId="9" fillId="0" fontId="11" numFmtId="0" xfId="0" applyAlignment="1" applyBorder="1" applyFont="1">
      <alignment readingOrder="0" shrinkToFit="0" vertical="center" wrapText="0"/>
    </xf>
    <xf borderId="15" fillId="4" fontId="7" numFmtId="0" xfId="0" applyAlignment="1" applyBorder="1" applyFont="1">
      <alignment horizontal="center" readingOrder="0" shrinkToFit="0" wrapText="0"/>
    </xf>
    <xf borderId="5" fillId="0" fontId="12" numFmtId="0" xfId="0" applyAlignment="1" applyBorder="1" applyFont="1">
      <alignment readingOrder="0" shrinkToFit="0" vertical="center" wrapText="0"/>
    </xf>
    <xf borderId="5" fillId="0" fontId="4" numFmtId="49" xfId="0" applyAlignment="1" applyBorder="1" applyFont="1" applyNumberFormat="1">
      <alignment horizontal="center" readingOrder="0" shrinkToFit="0" vertical="center" wrapText="0"/>
    </xf>
    <xf borderId="0" fillId="3" fontId="13" numFmtId="0" xfId="0" applyAlignment="1" applyFont="1">
      <alignment readingOrder="0" shrinkToFit="0" vertical="bottom" wrapText="0"/>
    </xf>
    <xf borderId="15" fillId="0" fontId="13" numFmtId="0" xfId="0" applyAlignment="1" applyBorder="1" applyFont="1">
      <alignment readingOrder="0" shrinkToFit="0" vertical="bottom" wrapText="0"/>
    </xf>
    <xf borderId="15" fillId="0" fontId="13" numFmtId="0" xfId="0" applyAlignment="1" applyBorder="1" applyFon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4" numFmtId="0" xfId="0" applyAlignment="1" applyBorder="1" applyFont="1">
      <alignment readingOrder="0" shrinkToFit="0" vertical="center" wrapText="0"/>
    </xf>
    <xf borderId="16" fillId="0" fontId="13" numFmtId="0" xfId="0" applyAlignment="1" applyBorder="1" applyFont="1">
      <alignment readingOrder="0" shrinkToFit="0" vertical="bottom" wrapText="0"/>
    </xf>
    <xf borderId="8" fillId="0" fontId="15" numFmtId="0" xfId="0" applyAlignment="1" applyBorder="1" applyFont="1">
      <alignment readingOrder="0" shrinkToFit="0" vertical="center" wrapText="0"/>
    </xf>
    <xf borderId="5" fillId="0" fontId="16" numFmtId="0" xfId="0" applyAlignment="1" applyBorder="1" applyFont="1">
      <alignment readingOrder="0" shrinkToFit="0" vertical="center" wrapText="0"/>
    </xf>
    <xf borderId="16" fillId="4" fontId="7" numFmtId="0" xfId="0" applyAlignment="1" applyBorder="1" applyFont="1">
      <alignment horizontal="center" readingOrder="0" shrinkToFit="0" wrapText="0"/>
    </xf>
    <xf borderId="8" fillId="0" fontId="4" numFmtId="0" xfId="0" applyAlignment="1" applyBorder="1" applyFont="1">
      <alignment horizontal="left" shrinkToFit="0" vertical="center" wrapText="0"/>
    </xf>
    <xf borderId="13" fillId="0" fontId="13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shrinkToFit="0" vertical="center" wrapText="0"/>
    </xf>
    <xf borderId="8" fillId="0" fontId="17" numFmtId="0" xfId="0" applyAlignment="1" applyBorder="1" applyFont="1">
      <alignment readingOrder="0" shrinkToFit="0" vertical="center" wrapText="0"/>
    </xf>
    <xf borderId="5" fillId="0" fontId="4" numFmtId="164" xfId="0" applyAlignment="1" applyBorder="1" applyFont="1" applyNumberFormat="1">
      <alignment readingOrder="0" shrinkToFit="0" vertical="center" wrapText="0"/>
    </xf>
    <xf borderId="8" fillId="0" fontId="4" numFmtId="164" xfId="0" applyAlignment="1" applyBorder="1" applyFont="1" applyNumberFormat="1">
      <alignment readingOrder="0" shrinkToFit="0" vertical="center" wrapText="0"/>
    </xf>
    <xf borderId="5" fillId="0" fontId="18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8" fillId="0" fontId="3" numFmtId="0" xfId="0" applyAlignment="1" applyBorder="1" applyFont="1">
      <alignment horizontal="left" shrinkToFit="0" vertical="center" wrapText="0"/>
    </xf>
    <xf borderId="17" fillId="0" fontId="13" numFmtId="0" xfId="0" applyAlignment="1" applyBorder="1" applyFont="1">
      <alignment readingOrder="0" shrinkToFit="0" vertical="bottom" wrapText="0"/>
    </xf>
    <xf borderId="5" fillId="0" fontId="19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5" fillId="0" fontId="4" numFmtId="164" xfId="0" applyAlignment="1" applyBorder="1" applyFont="1" applyNumberFormat="1">
      <alignment horizontal="left" readingOrder="0" shrinkToFit="0" vertical="center" wrapText="0"/>
    </xf>
    <xf borderId="8" fillId="0" fontId="20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horizontal="left" shrinkToFit="0" vertical="center" wrapText="0"/>
    </xf>
    <xf borderId="5" fillId="0" fontId="21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left" readingOrder="0" shrinkToFit="0" vertical="center" wrapText="0"/>
    </xf>
    <xf borderId="8" fillId="0" fontId="4" numFmtId="0" xfId="0" applyAlignment="1" applyBorder="1" applyFont="1">
      <alignment horizontal="left" readingOrder="0" shrinkToFit="0" vertical="center" wrapText="0"/>
    </xf>
    <xf borderId="8" fillId="0" fontId="22" numFmtId="0" xfId="0" applyAlignment="1" applyBorder="1" applyFont="1">
      <alignment readingOrder="0" shrinkToFit="0" vertical="center" wrapText="0"/>
    </xf>
    <xf borderId="8" fillId="0" fontId="23" numFmtId="0" xfId="0" applyAlignment="1" applyBorder="1" applyFont="1">
      <alignment readingOrder="0" shrinkToFit="0" vertical="center" wrapText="0"/>
    </xf>
    <xf borderId="8" fillId="0" fontId="4" numFmtId="164" xfId="0" applyAlignment="1" applyBorder="1" applyFont="1" applyNumberFormat="1">
      <alignment horizontal="left"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horizontal="left" readingOrder="0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5" fillId="0" fontId="24" numFmtId="0" xfId="0" applyAlignment="1" applyBorder="1" applyFont="1">
      <alignment readingOrder="0" shrinkToFit="0" vertical="center" wrapText="0"/>
    </xf>
    <xf borderId="8" fillId="0" fontId="24" numFmtId="0" xfId="0" applyAlignment="1" applyBorder="1" applyFont="1">
      <alignment readingOrder="0" shrinkToFit="0" vertical="center" wrapText="0"/>
    </xf>
    <xf borderId="18" fillId="5" fontId="4" numFmtId="0" xfId="0" applyAlignment="1" applyBorder="1" applyFill="1" applyFont="1">
      <alignment readingOrder="0" shrinkToFit="0" vertical="center" wrapText="0"/>
    </xf>
    <xf borderId="18" fillId="5" fontId="25" numFmtId="0" xfId="0" applyAlignment="1" applyBorder="1" applyFont="1">
      <alignment readingOrder="0" shrinkToFit="0" vertical="center" wrapText="0"/>
    </xf>
    <xf borderId="18" fillId="5" fontId="4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8" fillId="0" fontId="4" numFmtId="49" xfId="0" applyAlignment="1" applyBorder="1" applyFont="1" applyNumberForma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5" fillId="0" fontId="4" numFmtId="49" xfId="0" applyAlignment="1" applyBorder="1" applyFont="1" applyNumberFormat="1">
      <alignment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horizontal="center" readingOrder="0" shrinkToFit="0" vertical="center" wrapText="0"/>
    </xf>
    <xf borderId="5" fillId="5" fontId="26" numFmtId="0" xfId="0" applyAlignment="1" applyBorder="1" applyFont="1">
      <alignment shrinkToFit="0" vertical="center" wrapText="0"/>
    </xf>
    <xf borderId="5" fillId="3" fontId="27" numFmtId="0" xfId="0" applyAlignment="1" applyBorder="1" applyFont="1">
      <alignment readingOrder="0" shrinkToFit="0" vertical="center" wrapText="0"/>
    </xf>
    <xf borderId="5" fillId="3" fontId="26" numFmtId="0" xfId="0" applyAlignment="1" applyBorder="1" applyFont="1">
      <alignment readingOrder="0" shrinkToFit="0" vertical="center" wrapText="0"/>
    </xf>
    <xf borderId="5" fillId="3" fontId="28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29" numFmtId="0" xfId="0" applyAlignment="1" applyBorder="1" applyFont="1">
      <alignment readingOrder="0" shrinkToFit="0" vertical="center" wrapText="0"/>
    </xf>
    <xf borderId="5" fillId="3" fontId="30" numFmtId="0" xfId="0" applyAlignment="1" applyBorder="1" applyFont="1">
      <alignment shrinkToFit="0" vertical="center" wrapText="0"/>
    </xf>
    <xf borderId="5" fillId="3" fontId="31" numFmtId="0" xfId="0" applyAlignment="1" applyBorder="1" applyFont="1">
      <alignment shrinkToFit="0" vertical="center" wrapText="0"/>
    </xf>
    <xf borderId="5" fillId="3" fontId="26" numFmtId="0" xfId="0" applyAlignment="1" applyBorder="1" applyFont="1">
      <alignment horizontal="right" readingOrder="0" shrinkToFit="0" vertical="center" wrapText="0"/>
    </xf>
    <xf borderId="8" fillId="6" fontId="26" numFmtId="0" xfId="0" applyAlignment="1" applyBorder="1" applyFill="1" applyFont="1">
      <alignment shrinkToFit="0" vertical="center" wrapText="0"/>
    </xf>
    <xf borderId="8" fillId="6" fontId="26" numFmtId="0" xfId="0" applyAlignment="1" applyBorder="1" applyFont="1">
      <alignment readingOrder="0" shrinkToFit="0" vertical="center" wrapText="0"/>
    </xf>
    <xf borderId="8" fillId="6" fontId="28" numFmtId="0" xfId="0" applyAlignment="1" applyBorder="1" applyFont="1">
      <alignment shrinkToFit="0" vertical="center" wrapText="0"/>
    </xf>
    <xf borderId="8" fillId="6" fontId="3" numFmtId="0" xfId="0" applyAlignment="1" applyBorder="1" applyFont="1">
      <alignment shrinkToFit="0" vertical="center" wrapText="0"/>
    </xf>
    <xf borderId="8" fillId="6" fontId="30" numFmtId="0" xfId="0" applyAlignment="1" applyBorder="1" applyFont="1">
      <alignment shrinkToFit="0" vertical="center" wrapText="0"/>
    </xf>
    <xf borderId="8" fillId="6" fontId="31" numFmtId="0" xfId="0" applyAlignment="1" applyBorder="1" applyFont="1">
      <alignment shrinkToFit="0" vertical="center" wrapText="0"/>
    </xf>
    <xf borderId="8" fillId="6" fontId="26" numFmtId="0" xfId="0" applyAlignment="1" applyBorder="1" applyFont="1">
      <alignment horizontal="right" readingOrder="0" shrinkToFit="0" vertical="center" wrapText="0"/>
    </xf>
    <xf borderId="5" fillId="3" fontId="26" numFmtId="0" xfId="0" applyAlignment="1" applyBorder="1" applyFont="1">
      <alignment shrinkToFit="0" vertical="center" wrapText="0"/>
    </xf>
    <xf borderId="5" fillId="3" fontId="26" numFmtId="164" xfId="0" applyAlignment="1" applyBorder="1" applyFont="1" applyNumberFormat="1">
      <alignment horizontal="right" readingOrder="0" shrinkToFit="0" vertical="center" wrapText="0"/>
    </xf>
    <xf borderId="8" fillId="5" fontId="26" numFmtId="0" xfId="0" applyAlignment="1" applyBorder="1" applyFont="1">
      <alignment shrinkToFit="0" vertical="center" wrapText="0"/>
    </xf>
    <xf borderId="8" fillId="6" fontId="26" numFmtId="164" xfId="0" applyAlignment="1" applyBorder="1" applyFont="1" applyNumberFormat="1">
      <alignment horizontal="right" readingOrder="0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8" fillId="6" fontId="3" numFmtId="0" xfId="0" applyAlignment="1" applyBorder="1" applyFont="1">
      <alignment readingOrder="0" shrinkToFit="0" vertical="center" wrapText="0"/>
    </xf>
    <xf borderId="5" fillId="3" fontId="32" numFmtId="0" xfId="0" applyAlignment="1" applyBorder="1" applyFont="1">
      <alignment readingOrder="0" shrinkToFit="0" vertical="center" wrapText="0"/>
    </xf>
    <xf borderId="5" fillId="3" fontId="3" numFmtId="164" xfId="0" applyAlignment="1" applyBorder="1" applyFont="1" applyNumberFormat="1">
      <alignment readingOrder="0" shrinkToFit="0" vertical="center" wrapText="0"/>
    </xf>
    <xf borderId="19" fillId="7" fontId="33" numFmtId="0" xfId="0" applyAlignment="1" applyBorder="1" applyFill="1" applyFont="1">
      <alignment readingOrder="0" shrinkToFit="0" vertical="center" wrapText="0"/>
    </xf>
    <xf borderId="20" fillId="8" fontId="4" numFmtId="0" xfId="0" applyAlignment="1" applyBorder="1" applyFill="1" applyFont="1">
      <alignment horizontal="center" readingOrder="0" shrinkToFit="0" vertical="center" wrapText="0"/>
    </xf>
    <xf borderId="8" fillId="3" fontId="26" numFmtId="0" xfId="0" applyAlignment="1" applyBorder="1" applyFont="1">
      <alignment shrinkToFit="0" vertical="center" wrapText="0"/>
    </xf>
    <xf borderId="5" fillId="3" fontId="34" numFmtId="0" xfId="0" applyAlignment="1" applyBorder="1" applyFont="1">
      <alignment shrinkToFit="0" vertical="center" wrapText="0"/>
    </xf>
    <xf borderId="8" fillId="6" fontId="35" numFmtId="0" xfId="0" applyAlignment="1" applyBorder="1" applyFont="1">
      <alignment shrinkToFit="0" vertical="center" wrapText="0"/>
    </xf>
    <xf borderId="8" fillId="3" fontId="36" numFmtId="0" xfId="0" applyAlignment="1" applyBorder="1" applyFont="1">
      <alignment shrinkToFit="0" vertical="center" wrapText="0"/>
    </xf>
    <xf borderId="5" fillId="6" fontId="37" numFmtId="0" xfId="0" applyAlignment="1" applyBorder="1" applyFont="1">
      <alignment shrinkToFit="0" vertical="center" wrapText="0"/>
    </xf>
    <xf borderId="5" fillId="6" fontId="26" numFmtId="0" xfId="0" applyAlignment="1" applyBorder="1" applyFont="1">
      <alignment shrinkToFit="0" vertical="center" wrapText="0"/>
    </xf>
    <xf borderId="5" fillId="6" fontId="38" numFmtId="0" xfId="0" applyAlignment="1" applyBorder="1" applyFont="1">
      <alignment readingOrder="0" shrinkToFit="0" vertical="center" wrapText="0"/>
    </xf>
    <xf borderId="5" fillId="6" fontId="26" numFmtId="0" xfId="0" applyAlignment="1" applyBorder="1" applyFont="1">
      <alignment readingOrder="0" shrinkToFit="0" vertical="center" wrapText="0"/>
    </xf>
    <xf borderId="5" fillId="0" fontId="39" numFmtId="0" xfId="0" applyAlignment="1" applyBorder="1" applyFont="1">
      <alignment readingOrder="0" shrinkToFit="0" vertical="center" wrapText="0"/>
    </xf>
    <xf borderId="21" fillId="0" fontId="3" numFmtId="0" xfId="0" applyAlignment="1" applyBorder="1" applyFont="1">
      <alignment horizontal="center" readingOrder="0" shrinkToFit="0" vertical="center" wrapText="0"/>
    </xf>
    <xf borderId="22" fillId="6" fontId="26" numFmtId="0" xfId="0" applyAlignment="1" applyBorder="1" applyFont="1">
      <alignment shrinkToFit="0" vertical="center" wrapText="0"/>
    </xf>
    <xf borderId="22" fillId="0" fontId="4" numFmtId="0" xfId="0" applyAlignment="1" applyBorder="1" applyFont="1">
      <alignment shrinkToFit="0" vertical="center" wrapText="0"/>
    </xf>
    <xf borderId="22" fillId="0" fontId="4" numFmtId="0" xfId="0" applyAlignment="1" applyBorder="1" applyFont="1">
      <alignment shrinkToFit="0" vertical="center" wrapText="0"/>
    </xf>
    <xf borderId="22" fillId="0" fontId="4" numFmtId="49" xfId="0" applyAlignment="1" applyBorder="1" applyFont="1" applyNumberFormat="1">
      <alignment shrinkToFit="0" vertical="center" wrapText="0"/>
    </xf>
    <xf borderId="23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9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Scope-style">
      <tableStyleElement dxfId="1" type="headerRow"/>
      <tableStyleElement dxfId="2" type="firstRowStripe"/>
      <tableStyleElement dxfId="3" type="secondRowStripe"/>
    </tableStyle>
    <tableStyle count="3" pivot="0" name="Vulnerability WebApps-style">
      <tableStyleElement dxfId="1" type="headerRow"/>
      <tableStyleElement dxfId="2" type="firstRowStripe"/>
      <tableStyleElement dxfId="3" type="secondRowStripe"/>
    </tableStyle>
    <tableStyle count="3" pivot="0" name="Vulnerability Networ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  <a:r>
              <a:rPr b="0">
                <a:solidFill>
                  <a:srgbClr val="000000"/>
                </a:solidFill>
                <a:latin typeface="Comic Sans MS"/>
              </a:rPr>
              <a:t>Severity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'Vulnerability WebApps'!$Q$21:$Q$25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  <a:r>
              <a:rPr b="0">
                <a:solidFill>
                  <a:srgbClr val="000000"/>
                </a:solidFill>
                <a:latin typeface="Comic Sans MS"/>
              </a:rPr>
              <a:t>Status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'Vulnerability WebApps'!$Q$30:$Q$33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  <a:r>
              <a:rPr b="0">
                <a:solidFill>
                  <a:srgbClr val="000000"/>
                </a:solidFill>
                <a:latin typeface="Comic Sans MS"/>
              </a:rPr>
              <a:t>OWASP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val>
            <c:numRef>
              <c:f>'Vulnerability WebApps'!$Q$38:$Q$51</c:f>
              <c:numCache/>
            </c:numRef>
          </c:val>
        </c:ser>
        <c:ser>
          <c:idx val="1"/>
          <c:order val="1"/>
          <c:val>
            <c:numRef>
              <c:f>'Vulnerability WebApps'!$R$38:$R$51</c:f>
              <c:numCache/>
            </c:numRef>
          </c:val>
        </c:ser>
        <c:axId val="580335239"/>
        <c:axId val="1838173422"/>
      </c:bar3DChart>
      <c:catAx>
        <c:axId val="580335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38173422"/>
      </c:catAx>
      <c:valAx>
        <c:axId val="18381734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80335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WEEK</a:t>
            </a:r>
          </a:p>
        </c:rich>
      </c:tx>
      <c:overlay val="0"/>
    </c:title>
    <c:plotArea>
      <c:layout/>
      <c:areaChart>
        <c:axId val="1194991295"/>
        <c:axId val="2110396607"/>
      </c:areaChart>
      <c:catAx>
        <c:axId val="119499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396607"/>
      </c:catAx>
      <c:valAx>
        <c:axId val="211039660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949912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1</xdr:row>
      <xdr:rowOff>190500</xdr:rowOff>
    </xdr:from>
    <xdr:ext cx="433387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2371725</xdr:colOff>
      <xdr:row>1</xdr:row>
      <xdr:rowOff>190500</xdr:rowOff>
    </xdr:from>
    <xdr:ext cx="4333875" cy="2619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4762500</xdr:colOff>
      <xdr:row>1</xdr:row>
      <xdr:rowOff>190500</xdr:rowOff>
    </xdr:from>
    <xdr:ext cx="4267200" cy="2619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1123950</xdr:colOff>
      <xdr:row>1</xdr:row>
      <xdr:rowOff>190500</xdr:rowOff>
    </xdr:from>
    <xdr:ext cx="4267200" cy="26193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5:I31" displayName="Scope" name="Scope" id="1">
  <autoFilter ref="$B$5:$I$31"/>
  <tableColumns count="8">
    <tableColumn name="No" id="1"/>
    <tableColumn name="Application Name" id="2"/>
    <tableColumn name="URL / Endpoint" id="3"/>
    <tableColumn name="IP Public" id="4"/>
    <tableColumn name="IP Private" id="5"/>
    <tableColumn name="WAF" id="6"/>
    <tableColumn name="Base Programming Language" id="7"/>
    <tableColumn name="Status" id="8"/>
  </tableColumns>
  <tableStyleInfo name="Scope-style" showColumnStripes="0" showFirstColumn="1" showLastColumn="1" showRowStripes="1"/>
</table>
</file>

<file path=xl/tables/table2.xml><?xml version="1.0" encoding="utf-8"?>
<table xmlns="http://schemas.openxmlformats.org/spreadsheetml/2006/main" ref="B18:O355" displayName="Web" name="Web" id="2">
  <autoFilter ref="$B$18:$O$355">
    <filterColumn colId="13">
      <filters>
        <filter val="Progress"/>
        <filter val="Progress Arya"/>
      </filters>
    </filterColumn>
  </autoFilter>
  <tableColumns count="14">
    <tableColumn name="No" id="1"/>
    <tableColumn name="Application Name" id="2"/>
    <tableColumn name="Vulnerable URL" id="3"/>
    <tableColumn name="Paramater Vulnerable" id="4"/>
    <tableColumn name="Vulnerability" id="5"/>
    <tableColumn name="Category OWASP" id="6"/>
    <tableColumn name="CVSS Score" id="7"/>
    <tableColumn name="Severity" id="8"/>
    <tableColumn name="Status" id="9"/>
    <tableColumn name="VAPT" id="10"/>
    <tableColumn name="Created By" id="11"/>
    <tableColumn name="Week" id="12"/>
    <tableColumn name="Last Updated" id="13"/>
    <tableColumn name="VAPT File" id="14"/>
  </tableColumns>
  <tableStyleInfo name="Vulnerability WebApps-style" showColumnStripes="0" showFirstColumn="1" showLastColumn="1" showRowStripes="1"/>
</table>
</file>

<file path=xl/tables/table3.xml><?xml version="1.0" encoding="utf-8"?>
<table xmlns="http://schemas.openxmlformats.org/spreadsheetml/2006/main" ref="B5:J31" displayName="Network" name="Network" id="3">
  <autoFilter ref="$B$5:$J$31"/>
  <tableColumns count="9">
    <tableColumn name="No" id="1"/>
    <tableColumn name="Application Name" id="2"/>
    <tableColumn name="Vulnerable URL" id="3"/>
    <tableColumn name="Paramater Vulnerable" id="4"/>
    <tableColumn name="Vulnerability" id="5"/>
    <tableColumn name="Category OWASP" id="6"/>
    <tableColumn name="CVSS Score" id="7"/>
    <tableColumn name="Severity" id="8"/>
    <tableColumn name="Status" id="9"/>
  </tableColumns>
  <tableStyleInfo name="Vulnerability Networ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mailto:nantzzsec@gmail.com" TargetMode="External"/><Relationship Id="rId194" Type="http://schemas.openxmlformats.org/officeDocument/2006/relationships/hyperlink" Target="https://drive.google.com/file/d/15uWflTwEAwvYNy0uyuHOqnqKqL3oB4c1/view?usp=sharing" TargetMode="External"/><Relationship Id="rId193" Type="http://schemas.openxmlformats.org/officeDocument/2006/relationships/hyperlink" Target="mailto:nantzzsec@gmail.com" TargetMode="External"/><Relationship Id="rId192" Type="http://schemas.openxmlformats.org/officeDocument/2006/relationships/hyperlink" Target="http://ppid.pelni.co.id/wp-content/plugins/elementor/" TargetMode="External"/><Relationship Id="rId191" Type="http://schemas.openxmlformats.org/officeDocument/2006/relationships/hyperlink" Target="https://drive.google.com/file/d/15uWflTwEAwvYNy0uyuHOqnqKqL3oB4c1/view?usp=sharing" TargetMode="External"/><Relationship Id="rId187" Type="http://schemas.openxmlformats.org/officeDocument/2006/relationships/hyperlink" Target="mailto:nantzzsec@gmail.com" TargetMode="External"/><Relationship Id="rId186" Type="http://schemas.openxmlformats.org/officeDocument/2006/relationships/hyperlink" Target="http://ppid.pelni.co.id/wp-content/plugins/elementor/" TargetMode="External"/><Relationship Id="rId185" Type="http://schemas.openxmlformats.org/officeDocument/2006/relationships/hyperlink" Target="https://drive.google.com/file/d/15uWflTwEAwvYNy0uyuHOqnqKqL3oB4c1/view?usp=sharing" TargetMode="External"/><Relationship Id="rId184" Type="http://schemas.openxmlformats.org/officeDocument/2006/relationships/hyperlink" Target="mailto:nantzzsec@gmail.com" TargetMode="External"/><Relationship Id="rId189" Type="http://schemas.openxmlformats.org/officeDocument/2006/relationships/hyperlink" Target="http://ppid.pelni.co.id/wp-content/plugins/elementor/" TargetMode="External"/><Relationship Id="rId188" Type="http://schemas.openxmlformats.org/officeDocument/2006/relationships/hyperlink" Target="https://drive.google.com/file/d/15uWflTwEAwvYNy0uyuHOqnqKqL3oB4c1/view?usp=sharing" TargetMode="External"/><Relationship Id="rId183" Type="http://schemas.openxmlformats.org/officeDocument/2006/relationships/hyperlink" Target="http://ppid.pelni.co.id/wp-content/plugins/elementor/" TargetMode="External"/><Relationship Id="rId182" Type="http://schemas.openxmlformats.org/officeDocument/2006/relationships/hyperlink" Target="https://drive.google.com/file/d/15uWflTwEAwvYNy0uyuHOqnqKqL3oB4c1/view?usp=sharing" TargetMode="External"/><Relationship Id="rId181" Type="http://schemas.openxmlformats.org/officeDocument/2006/relationships/hyperlink" Target="mailto:nantzzsec@gmail.com" TargetMode="External"/><Relationship Id="rId180" Type="http://schemas.openxmlformats.org/officeDocument/2006/relationships/hyperlink" Target="http://ppid.pelni.co.id/wp-content/plugins/elementor/" TargetMode="External"/><Relationship Id="rId176" Type="http://schemas.openxmlformats.org/officeDocument/2006/relationships/hyperlink" Target="https://drive.google.com/file/d/15uWflTwEAwvYNy0uyuHOqnqKqL3oB4c1/view?usp=sharing" TargetMode="External"/><Relationship Id="rId297" Type="http://schemas.openxmlformats.org/officeDocument/2006/relationships/hyperlink" Target="mailto:nantzzsec@gmail.com" TargetMode="External"/><Relationship Id="rId175" Type="http://schemas.openxmlformats.org/officeDocument/2006/relationships/hyperlink" Target="mailto:nantzzsec@gmail.com" TargetMode="External"/><Relationship Id="rId296" Type="http://schemas.openxmlformats.org/officeDocument/2006/relationships/hyperlink" Target="mailto:nantzzsec@gmail.com" TargetMode="External"/><Relationship Id="rId174" Type="http://schemas.openxmlformats.org/officeDocument/2006/relationships/hyperlink" Target="http://ppid.pelni.co.id/wp-content/plugins/elementor/" TargetMode="External"/><Relationship Id="rId295" Type="http://schemas.openxmlformats.org/officeDocument/2006/relationships/hyperlink" Target="https://ppid.pelni.co.id/wp-content/plugins/wp-table-builder/" TargetMode="External"/><Relationship Id="rId173" Type="http://schemas.openxmlformats.org/officeDocument/2006/relationships/hyperlink" Target="https://drive.google.com/file/d/15uWflTwEAwvYNy0uyuHOqnqKqL3oB4c1/view?usp=sharing" TargetMode="External"/><Relationship Id="rId294" Type="http://schemas.openxmlformats.org/officeDocument/2006/relationships/hyperlink" Target="mailto:nantzzsec@gmail.com" TargetMode="External"/><Relationship Id="rId179" Type="http://schemas.openxmlformats.org/officeDocument/2006/relationships/hyperlink" Target="https://drive.google.com/file/d/15uWflTwEAwvYNy0uyuHOqnqKqL3oB4c1/view?usp=sharing" TargetMode="External"/><Relationship Id="rId178" Type="http://schemas.openxmlformats.org/officeDocument/2006/relationships/hyperlink" Target="mailto:nantzzsec@gmail.com" TargetMode="External"/><Relationship Id="rId299" Type="http://schemas.openxmlformats.org/officeDocument/2006/relationships/hyperlink" Target="https://devel.pelni.co.id/master/Pendidikan/get_cmb_provinsi/_ktp" TargetMode="External"/><Relationship Id="rId177" Type="http://schemas.openxmlformats.org/officeDocument/2006/relationships/hyperlink" Target="http://ppid.pelni.co.id/wp-content/plugins/elementor/" TargetMode="External"/><Relationship Id="rId298" Type="http://schemas.openxmlformats.org/officeDocument/2006/relationships/hyperlink" Target="https://camar.pelni.co.id/wp-content/plugins/all-in-one-wp-migration/" TargetMode="External"/><Relationship Id="rId198" Type="http://schemas.openxmlformats.org/officeDocument/2006/relationships/hyperlink" Target="http://ppid.pelni.co.id/wp-content/plugins/elementor/" TargetMode="External"/><Relationship Id="rId197" Type="http://schemas.openxmlformats.org/officeDocument/2006/relationships/hyperlink" Target="https://drive.google.com/file/d/15uWflTwEAwvYNy0uyuHOqnqKqL3oB4c1/view?usp=sharing" TargetMode="External"/><Relationship Id="rId196" Type="http://schemas.openxmlformats.org/officeDocument/2006/relationships/hyperlink" Target="mailto:nantzzsec@gmail.com" TargetMode="External"/><Relationship Id="rId195" Type="http://schemas.openxmlformats.org/officeDocument/2006/relationships/hyperlink" Target="http://ppid.pelni.co.id/wp-content/plugins/elementor/" TargetMode="External"/><Relationship Id="rId199" Type="http://schemas.openxmlformats.org/officeDocument/2006/relationships/hyperlink" Target="mailto:nantzzsec@gmail.com" TargetMode="External"/><Relationship Id="rId150" Type="http://schemas.openxmlformats.org/officeDocument/2006/relationships/hyperlink" Target="http://ppid.pelni.co.id/wp-content/plugins/elementor/" TargetMode="External"/><Relationship Id="rId271" Type="http://schemas.openxmlformats.org/officeDocument/2006/relationships/hyperlink" Target="https://karir.pelni.co.id/applicant/data-diri?tab=pengalamandarat" TargetMode="External"/><Relationship Id="rId392" Type="http://schemas.openxmlformats.org/officeDocument/2006/relationships/hyperlink" Target="mailto:nantzzsec@gmail.com" TargetMode="External"/><Relationship Id="rId270" Type="http://schemas.openxmlformats.org/officeDocument/2006/relationships/hyperlink" Target="mailto:nantzzsec@gmail.com" TargetMode="External"/><Relationship Id="rId391" Type="http://schemas.openxmlformats.org/officeDocument/2006/relationships/hyperlink" Target="https://devel.pelni.co.id/hrm/jabatan/nomjabatan" TargetMode="External"/><Relationship Id="rId390" Type="http://schemas.openxmlformats.org/officeDocument/2006/relationships/hyperlink" Target="mailto:nantzzsec@gmail.com" TargetMode="External"/><Relationship Id="rId1" Type="http://schemas.openxmlformats.org/officeDocument/2006/relationships/hyperlink" Target="mailto:tengkuarya00@gmail.com" TargetMode="External"/><Relationship Id="rId2" Type="http://schemas.openxmlformats.org/officeDocument/2006/relationships/hyperlink" Target="https://drive.google.com/file/d/1t7Nqw8_IbY7YUUfJ9cI1czMZYse9RxA_/view?usp=drive_link" TargetMode="External"/><Relationship Id="rId3" Type="http://schemas.openxmlformats.org/officeDocument/2006/relationships/hyperlink" Target="https://tiket-gratis-dev.pelni.co.id/office/mutis-rute/save" TargetMode="External"/><Relationship Id="rId149" Type="http://schemas.openxmlformats.org/officeDocument/2006/relationships/hyperlink" Target="https://drive.google.com/file/d/1t7Nqw8_IbY7YUUfJ9cI1czMZYse9RxA_/view?usp=drive_link" TargetMode="External"/><Relationship Id="rId4" Type="http://schemas.openxmlformats.org/officeDocument/2006/relationships/hyperlink" Target="mailto:tengkuarya00@gmail.com" TargetMode="External"/><Relationship Id="rId148" Type="http://schemas.openxmlformats.org/officeDocument/2006/relationships/hyperlink" Target="mailto:tengkuarya00@gmail.com" TargetMode="External"/><Relationship Id="rId269" Type="http://schemas.openxmlformats.org/officeDocument/2006/relationships/hyperlink" Target="https://karir.pelni.co.id/applicant/data-diri?tab=pengalamandarat" TargetMode="External"/><Relationship Id="rId9" Type="http://schemas.openxmlformats.org/officeDocument/2006/relationships/hyperlink" Target="https://tiket-gratis-dev.pelni.co.id/office/mutis-rute/update/9e61baab-6ba3-485c-902d-11971719654a" TargetMode="External"/><Relationship Id="rId143" Type="http://schemas.openxmlformats.org/officeDocument/2006/relationships/hyperlink" Target="https://drive.google.com/file/d/1t7Nqw8_IbY7YUUfJ9cI1czMZYse9RxA_/view?usp=drive_link" TargetMode="External"/><Relationship Id="rId264" Type="http://schemas.openxmlformats.org/officeDocument/2006/relationships/hyperlink" Target="mailto:nantzzsec@gmail.com" TargetMode="External"/><Relationship Id="rId385" Type="http://schemas.openxmlformats.org/officeDocument/2006/relationships/hyperlink" Target="https://devel.pelni.co.id/hrm/manajemen_sk_jabatan" TargetMode="External"/><Relationship Id="rId142" Type="http://schemas.openxmlformats.org/officeDocument/2006/relationships/hyperlink" Target="mailto:tengkuarya00@gmail.com" TargetMode="External"/><Relationship Id="rId263" Type="http://schemas.openxmlformats.org/officeDocument/2006/relationships/hyperlink" Target="https://karir.pelni.co.id/applicant/data-diri?tab=bahasa" TargetMode="External"/><Relationship Id="rId384" Type="http://schemas.openxmlformats.org/officeDocument/2006/relationships/hyperlink" Target="mailto:nantzzsec@gmail.com" TargetMode="External"/><Relationship Id="rId141" Type="http://schemas.openxmlformats.org/officeDocument/2006/relationships/hyperlink" Target="http://ppid.pelni.co.id/wp-content/plugins/elementor/" TargetMode="External"/><Relationship Id="rId262" Type="http://schemas.openxmlformats.org/officeDocument/2006/relationships/hyperlink" Target="mailto:nantzzsec@gmail.com" TargetMode="External"/><Relationship Id="rId383" Type="http://schemas.openxmlformats.org/officeDocument/2006/relationships/hyperlink" Target="https://devel.pelni.co.id/hrm/organisasi" TargetMode="External"/><Relationship Id="rId140" Type="http://schemas.openxmlformats.org/officeDocument/2006/relationships/hyperlink" Target="https://drive.google.com/file/d/1t7Nqw8_IbY7YUUfJ9cI1czMZYse9RxA_/view?usp=drive_link" TargetMode="External"/><Relationship Id="rId261" Type="http://schemas.openxmlformats.org/officeDocument/2006/relationships/hyperlink" Target="https://karir.pelni.co.id/applicant/data-diri?tab=pendidikandarat" TargetMode="External"/><Relationship Id="rId382" Type="http://schemas.openxmlformats.org/officeDocument/2006/relationships/hyperlink" Target="mailto:nantzzsec@gmail.com" TargetMode="External"/><Relationship Id="rId5" Type="http://schemas.openxmlformats.org/officeDocument/2006/relationships/hyperlink" Target="https://drive.google.com/file/d/1t7Nqw8_IbY7YUUfJ9cI1czMZYse9RxA_/view?usp=drive_link" TargetMode="External"/><Relationship Id="rId147" Type="http://schemas.openxmlformats.org/officeDocument/2006/relationships/hyperlink" Target="http://ppid.pelni.co.id/wp-content/plugins/elementor/" TargetMode="External"/><Relationship Id="rId268" Type="http://schemas.openxmlformats.org/officeDocument/2006/relationships/hyperlink" Target="mailto:nantzzsec@gmail.com" TargetMode="External"/><Relationship Id="rId389" Type="http://schemas.openxmlformats.org/officeDocument/2006/relationships/hyperlink" Target="https://devel.pelni.co.id/hrm/jabatan/nomjabatan" TargetMode="External"/><Relationship Id="rId6" Type="http://schemas.openxmlformats.org/officeDocument/2006/relationships/hyperlink" Target="https://tiket-gratis-dev.pelni.co.id/office/mutis-rute/update/9e61baab-6ba3-485c-902d-11971719654a" TargetMode="External"/><Relationship Id="rId146" Type="http://schemas.openxmlformats.org/officeDocument/2006/relationships/hyperlink" Target="https://drive.google.com/file/d/1t7Nqw8_IbY7YUUfJ9cI1czMZYse9RxA_/view?usp=drive_link" TargetMode="External"/><Relationship Id="rId267" Type="http://schemas.openxmlformats.org/officeDocument/2006/relationships/hyperlink" Target="https://karir.pelni.co.id/applicant/data-diri?tab=bahasa" TargetMode="External"/><Relationship Id="rId388" Type="http://schemas.openxmlformats.org/officeDocument/2006/relationships/hyperlink" Target="mailto:nantzzsec@gmail.com" TargetMode="External"/><Relationship Id="rId7" Type="http://schemas.openxmlformats.org/officeDocument/2006/relationships/hyperlink" Target="mailto:nantzzsec@gmail.com" TargetMode="External"/><Relationship Id="rId145" Type="http://schemas.openxmlformats.org/officeDocument/2006/relationships/hyperlink" Target="mailto:tengkuarya00@gmail.com" TargetMode="External"/><Relationship Id="rId266" Type="http://schemas.openxmlformats.org/officeDocument/2006/relationships/hyperlink" Target="mailto:nantzzsec@gmail.com" TargetMode="External"/><Relationship Id="rId387" Type="http://schemas.openxmlformats.org/officeDocument/2006/relationships/hyperlink" Target="https://devel.pelni.co.id/hrm/jabatan" TargetMode="External"/><Relationship Id="rId8" Type="http://schemas.openxmlformats.org/officeDocument/2006/relationships/hyperlink" Target="https://drive.google.com/file/d/15uWflTwEAwvYNy0uyuHOqnqKqL3oB4c1/view?usp=sharing" TargetMode="External"/><Relationship Id="rId144" Type="http://schemas.openxmlformats.org/officeDocument/2006/relationships/hyperlink" Target="http://ppid.pelni.co.id/wp-content/plugins/elementor/" TargetMode="External"/><Relationship Id="rId265" Type="http://schemas.openxmlformats.org/officeDocument/2006/relationships/hyperlink" Target="https://karir.pelni.co.id/applicant/data-diri?tab=bahasa" TargetMode="External"/><Relationship Id="rId386" Type="http://schemas.openxmlformats.org/officeDocument/2006/relationships/hyperlink" Target="mailto:nantzzsec@gmail.com" TargetMode="External"/><Relationship Id="rId260" Type="http://schemas.openxmlformats.org/officeDocument/2006/relationships/hyperlink" Target="mailto:nantzzsec@gmail.com" TargetMode="External"/><Relationship Id="rId381" Type="http://schemas.openxmlformats.org/officeDocument/2006/relationships/hyperlink" Target="mailto:nantzzsec@gmail.com" TargetMode="External"/><Relationship Id="rId380" Type="http://schemas.openxmlformats.org/officeDocument/2006/relationships/hyperlink" Target="https://devel.pelni.co.id/hrm/manajemen_sk_organisasi" TargetMode="External"/><Relationship Id="rId139" Type="http://schemas.openxmlformats.org/officeDocument/2006/relationships/hyperlink" Target="mailto:tengkuarya00@gmail.com" TargetMode="External"/><Relationship Id="rId138" Type="http://schemas.openxmlformats.org/officeDocument/2006/relationships/hyperlink" Target="http://ppid.pelni.co.id/wp-content/plugins/elementor/" TargetMode="External"/><Relationship Id="rId259" Type="http://schemas.openxmlformats.org/officeDocument/2006/relationships/hyperlink" Target="https://karir.pelni.co.id/applicant/data-diri?tab=pendidikandarat" TargetMode="External"/><Relationship Id="rId137" Type="http://schemas.openxmlformats.org/officeDocument/2006/relationships/hyperlink" Target="https://drive.google.com/file/d/1t7Nqw8_IbY7YUUfJ9cI1czMZYse9RxA_/view?usp=drive_link" TargetMode="External"/><Relationship Id="rId258" Type="http://schemas.openxmlformats.org/officeDocument/2006/relationships/hyperlink" Target="mailto:nantzzsec@gmail.com" TargetMode="External"/><Relationship Id="rId379" Type="http://schemas.openxmlformats.org/officeDocument/2006/relationships/hyperlink" Target="mailto:nantzzsec@gmail.com" TargetMode="External"/><Relationship Id="rId132" Type="http://schemas.openxmlformats.org/officeDocument/2006/relationships/hyperlink" Target="http://ppid.pelni.co.id/wp-content/plugins/elementor/" TargetMode="External"/><Relationship Id="rId253" Type="http://schemas.openxmlformats.org/officeDocument/2006/relationships/hyperlink" Target="https://karir.pelni.co.id/applicant/data-diri?tab=upload_dokumen" TargetMode="External"/><Relationship Id="rId374" Type="http://schemas.openxmlformats.org/officeDocument/2006/relationships/hyperlink" Target="https://devel.pelni.co.id/hrm/jabatan" TargetMode="External"/><Relationship Id="rId495" Type="http://schemas.openxmlformats.org/officeDocument/2006/relationships/hyperlink" Target="https://devel.pelni.co.id/emutasi/pengaturan/jenis/laut" TargetMode="External"/><Relationship Id="rId131" Type="http://schemas.openxmlformats.org/officeDocument/2006/relationships/hyperlink" Target="https://drive.google.com/file/d/1t7Nqw8_IbY7YUUfJ9cI1czMZYse9RxA_/view?usp=drive_link" TargetMode="External"/><Relationship Id="rId252" Type="http://schemas.openxmlformats.org/officeDocument/2006/relationships/hyperlink" Target="mailto:nantzzsec@gmail.com" TargetMode="External"/><Relationship Id="rId373" Type="http://schemas.openxmlformats.org/officeDocument/2006/relationships/hyperlink" Target="mailto:nantzzsec@gmail.com" TargetMode="External"/><Relationship Id="rId494" Type="http://schemas.openxmlformats.org/officeDocument/2006/relationships/hyperlink" Target="mailto:tengkuarya00@gmail.com" TargetMode="External"/><Relationship Id="rId130" Type="http://schemas.openxmlformats.org/officeDocument/2006/relationships/hyperlink" Target="mailto:tengkuarya00@gmail.com" TargetMode="External"/><Relationship Id="rId251" Type="http://schemas.openxmlformats.org/officeDocument/2006/relationships/hyperlink" Target="https://karir.pelni.co.id/applicant/data-diri?tab=upload_dokumen" TargetMode="External"/><Relationship Id="rId372" Type="http://schemas.openxmlformats.org/officeDocument/2006/relationships/hyperlink" Target="https://devel.pelni.co.id/hrm/manajemen_sk_jabatan" TargetMode="External"/><Relationship Id="rId493" Type="http://schemas.openxmlformats.org/officeDocument/2006/relationships/hyperlink" Target="https://devel.pelni.co.id/emutasi/pengaturan/jenis/laut" TargetMode="External"/><Relationship Id="rId250" Type="http://schemas.openxmlformats.org/officeDocument/2006/relationships/hyperlink" Target="mailto:nantzzsec@gmail.com" TargetMode="External"/><Relationship Id="rId371" Type="http://schemas.openxmlformats.org/officeDocument/2006/relationships/hyperlink" Target="mailto:nantzzsec@gmail.com" TargetMode="External"/><Relationship Id="rId492" Type="http://schemas.openxmlformats.org/officeDocument/2006/relationships/hyperlink" Target="mailto:tengkuarya00@gmail.com" TargetMode="External"/><Relationship Id="rId136" Type="http://schemas.openxmlformats.org/officeDocument/2006/relationships/hyperlink" Target="mailto:tengkuarya00@gmail.com" TargetMode="External"/><Relationship Id="rId257" Type="http://schemas.openxmlformats.org/officeDocument/2006/relationships/hyperlink" Target="https://karir.pelni.co.id/applicant/data-diri?tab=pendidikandarat" TargetMode="External"/><Relationship Id="rId378" Type="http://schemas.openxmlformats.org/officeDocument/2006/relationships/hyperlink" Target="https://devel.pelni.co.id/spj/pegawai/approval" TargetMode="External"/><Relationship Id="rId499" Type="http://schemas.openxmlformats.org/officeDocument/2006/relationships/hyperlink" Target="https://devel.pelni.co.id/emutasi/pengaturan/jenis/laut" TargetMode="External"/><Relationship Id="rId135" Type="http://schemas.openxmlformats.org/officeDocument/2006/relationships/hyperlink" Target="http://ppid.pelni.co.id/wp-content/plugins/elementor/" TargetMode="External"/><Relationship Id="rId256" Type="http://schemas.openxmlformats.org/officeDocument/2006/relationships/hyperlink" Target="mailto:nantzzsec@gmail.com" TargetMode="External"/><Relationship Id="rId377" Type="http://schemas.openxmlformats.org/officeDocument/2006/relationships/hyperlink" Target="mailto:nantzzsec@gmail.com" TargetMode="External"/><Relationship Id="rId498" Type="http://schemas.openxmlformats.org/officeDocument/2006/relationships/hyperlink" Target="mailto:tengkuarya00@gmail.com" TargetMode="External"/><Relationship Id="rId134" Type="http://schemas.openxmlformats.org/officeDocument/2006/relationships/hyperlink" Target="https://drive.google.com/file/d/1t7Nqw8_IbY7YUUfJ9cI1czMZYse9RxA_/view?usp=drive_link" TargetMode="External"/><Relationship Id="rId255" Type="http://schemas.openxmlformats.org/officeDocument/2006/relationships/hyperlink" Target="https://karir.pelni.co.id/applicant/data-diri?tab=pendidikandarat" TargetMode="External"/><Relationship Id="rId376" Type="http://schemas.openxmlformats.org/officeDocument/2006/relationships/hyperlink" Target="https://devel.pelni.co.id/ess/absensi" TargetMode="External"/><Relationship Id="rId497" Type="http://schemas.openxmlformats.org/officeDocument/2006/relationships/hyperlink" Target="https://devel.pelni.co.id/emutasi/pengaturan/jenis/laut" TargetMode="External"/><Relationship Id="rId133" Type="http://schemas.openxmlformats.org/officeDocument/2006/relationships/hyperlink" Target="mailto:tengkuarya00@gmail.com" TargetMode="External"/><Relationship Id="rId254" Type="http://schemas.openxmlformats.org/officeDocument/2006/relationships/hyperlink" Target="mailto:nantzzsec@gmail.com" TargetMode="External"/><Relationship Id="rId375" Type="http://schemas.openxmlformats.org/officeDocument/2006/relationships/hyperlink" Target="mailto:nantzzsec@gmail.com" TargetMode="External"/><Relationship Id="rId496" Type="http://schemas.openxmlformats.org/officeDocument/2006/relationships/hyperlink" Target="mailto:tengkuarya00@gmail.com" TargetMode="External"/><Relationship Id="rId172" Type="http://schemas.openxmlformats.org/officeDocument/2006/relationships/hyperlink" Target="mailto:nantzzsec@gmail.com" TargetMode="External"/><Relationship Id="rId293" Type="http://schemas.openxmlformats.org/officeDocument/2006/relationships/hyperlink" Target="https://ppid.pelni.co.id/wp-content/plugins/prevent-direct-access/" TargetMode="External"/><Relationship Id="rId171" Type="http://schemas.openxmlformats.org/officeDocument/2006/relationships/hyperlink" Target="http://ppid.pelni.co.id/wp-content/plugins/elementor/" TargetMode="External"/><Relationship Id="rId292" Type="http://schemas.openxmlformats.org/officeDocument/2006/relationships/hyperlink" Target="mailto:nantzzsec@gmail.com" TargetMode="External"/><Relationship Id="rId170" Type="http://schemas.openxmlformats.org/officeDocument/2006/relationships/hyperlink" Target="https://drive.google.com/file/d/15uWflTwEAwvYNy0uyuHOqnqKqL3oB4c1/view?usp=sharing" TargetMode="External"/><Relationship Id="rId291" Type="http://schemas.openxmlformats.org/officeDocument/2006/relationships/hyperlink" Target="https://ppid.pelni.co.id/wp-content/plugins/akismet/" TargetMode="External"/><Relationship Id="rId290" Type="http://schemas.openxmlformats.org/officeDocument/2006/relationships/hyperlink" Target="mailto:nantzzsec@gmail.com" TargetMode="External"/><Relationship Id="rId165" Type="http://schemas.openxmlformats.org/officeDocument/2006/relationships/hyperlink" Target="http://ppid.pelni.co.id/wp-content/plugins/elementor/" TargetMode="External"/><Relationship Id="rId286" Type="http://schemas.openxmlformats.org/officeDocument/2006/relationships/hyperlink" Target="mailto:nantzzsec@gmail.com" TargetMode="External"/><Relationship Id="rId164" Type="http://schemas.openxmlformats.org/officeDocument/2006/relationships/hyperlink" Target="https://drive.google.com/file/d/1t7Nqw8_IbY7YUUfJ9cI1czMZYse9RxA_/view?usp=drive_link" TargetMode="External"/><Relationship Id="rId285" Type="http://schemas.openxmlformats.org/officeDocument/2006/relationships/hyperlink" Target="https://procurement.pelni.co.id/welcome/phpinfo" TargetMode="External"/><Relationship Id="rId163" Type="http://schemas.openxmlformats.org/officeDocument/2006/relationships/hyperlink" Target="mailto:tengkuarya00@gmail.com" TargetMode="External"/><Relationship Id="rId284" Type="http://schemas.openxmlformats.org/officeDocument/2006/relationships/hyperlink" Target="mailto:nantzzsec@gmail.com" TargetMode="External"/><Relationship Id="rId162" Type="http://schemas.openxmlformats.org/officeDocument/2006/relationships/hyperlink" Target="http://ppid.pelni.co.id/wp-content/plugins/elementor/" TargetMode="External"/><Relationship Id="rId283" Type="http://schemas.openxmlformats.org/officeDocument/2006/relationships/hyperlink" Target="https://hotel-bahtera.pelni.co.id/" TargetMode="External"/><Relationship Id="rId169" Type="http://schemas.openxmlformats.org/officeDocument/2006/relationships/hyperlink" Target="mailto:nantzzsec@gmail.com" TargetMode="External"/><Relationship Id="rId168" Type="http://schemas.openxmlformats.org/officeDocument/2006/relationships/hyperlink" Target="http://ppid.pelni.co.id/wp-content/plugins/elementor/" TargetMode="External"/><Relationship Id="rId289" Type="http://schemas.openxmlformats.org/officeDocument/2006/relationships/hyperlink" Target="https://karir.pelni.co.id/applicant/data-diri?tab=bahasa" TargetMode="External"/><Relationship Id="rId167" Type="http://schemas.openxmlformats.org/officeDocument/2006/relationships/hyperlink" Target="https://drive.google.com/file/d/1t7Nqw8_IbY7YUUfJ9cI1czMZYse9RxA_/view?usp=drive_link" TargetMode="External"/><Relationship Id="rId288" Type="http://schemas.openxmlformats.org/officeDocument/2006/relationships/hyperlink" Target="mailto:nantzzsec@gmail.com" TargetMode="External"/><Relationship Id="rId166" Type="http://schemas.openxmlformats.org/officeDocument/2006/relationships/hyperlink" Target="mailto:tengkuarya00@gmail.com" TargetMode="External"/><Relationship Id="rId287" Type="http://schemas.openxmlformats.org/officeDocument/2006/relationships/hyperlink" Target="https://karir.pelni.co.id/applicant/data-diri" TargetMode="External"/><Relationship Id="rId161" Type="http://schemas.openxmlformats.org/officeDocument/2006/relationships/hyperlink" Target="https://drive.google.com/file/d/1t7Nqw8_IbY7YUUfJ9cI1czMZYse9RxA_/view?usp=drive_link" TargetMode="External"/><Relationship Id="rId282" Type="http://schemas.openxmlformats.org/officeDocument/2006/relationships/hyperlink" Target="mailto:nantzzsec@gmail.com" TargetMode="External"/><Relationship Id="rId160" Type="http://schemas.openxmlformats.org/officeDocument/2006/relationships/hyperlink" Target="mailto:tengkuarya00@gmail.com" TargetMode="External"/><Relationship Id="rId281" Type="http://schemas.openxmlformats.org/officeDocument/2006/relationships/hyperlink" Target="https://hotel-bahtera.pelni.co.id/admin/modules/booking/booking/get_customer.php" TargetMode="External"/><Relationship Id="rId280" Type="http://schemas.openxmlformats.org/officeDocument/2006/relationships/hyperlink" Target="mailto:nantzzsec@gmail.com" TargetMode="External"/><Relationship Id="rId159" Type="http://schemas.openxmlformats.org/officeDocument/2006/relationships/hyperlink" Target="http://ppid.pelni.co.id/wp-content/plugins/elementor/" TargetMode="External"/><Relationship Id="rId154" Type="http://schemas.openxmlformats.org/officeDocument/2006/relationships/hyperlink" Target="mailto:tengkuarya00@gmail.com" TargetMode="External"/><Relationship Id="rId275" Type="http://schemas.openxmlformats.org/officeDocument/2006/relationships/hyperlink" Target="https://ppid.pelni.co.id/wp-content/plugins/wp-table-builder" TargetMode="External"/><Relationship Id="rId396" Type="http://schemas.openxmlformats.org/officeDocument/2006/relationships/hyperlink" Target="mailto:nantzzsec@gmail.com" TargetMode="External"/><Relationship Id="rId153" Type="http://schemas.openxmlformats.org/officeDocument/2006/relationships/hyperlink" Target="http://ppid.pelni.co.id/wp-content/plugins/elementor/" TargetMode="External"/><Relationship Id="rId274" Type="http://schemas.openxmlformats.org/officeDocument/2006/relationships/hyperlink" Target="mailto:nantzzsec@gmail.com" TargetMode="External"/><Relationship Id="rId395" Type="http://schemas.openxmlformats.org/officeDocument/2006/relationships/hyperlink" Target="https://devel.pelni.co.id/ess/inquiry" TargetMode="External"/><Relationship Id="rId152" Type="http://schemas.openxmlformats.org/officeDocument/2006/relationships/hyperlink" Target="https://drive.google.com/file/d/1t7Nqw8_IbY7YUUfJ9cI1czMZYse9RxA_/view?usp=drive_link" TargetMode="External"/><Relationship Id="rId273" Type="http://schemas.openxmlformats.org/officeDocument/2006/relationships/hyperlink" Target="https://karir.pelni.co.id/applicant/data-diri?tab=pengalamandarat" TargetMode="External"/><Relationship Id="rId394" Type="http://schemas.openxmlformats.org/officeDocument/2006/relationships/hyperlink" Target="mailto:nantzzsec@gmail.com" TargetMode="External"/><Relationship Id="rId151" Type="http://schemas.openxmlformats.org/officeDocument/2006/relationships/hyperlink" Target="mailto:tengkuarya00@gmail.com" TargetMode="External"/><Relationship Id="rId272" Type="http://schemas.openxmlformats.org/officeDocument/2006/relationships/hyperlink" Target="mailto:nantzzsec@gmail.com" TargetMode="External"/><Relationship Id="rId393" Type="http://schemas.openxmlformats.org/officeDocument/2006/relationships/hyperlink" Target="https://devel.pelni.co.id/hrm/jabatan/kelompok" TargetMode="External"/><Relationship Id="rId158" Type="http://schemas.openxmlformats.org/officeDocument/2006/relationships/hyperlink" Target="https://drive.google.com/file/d/1t7Nqw8_IbY7YUUfJ9cI1czMZYse9RxA_/view?usp=drive_link" TargetMode="External"/><Relationship Id="rId279" Type="http://schemas.openxmlformats.org/officeDocument/2006/relationships/hyperlink" Target="https://winona.pelni.co.id/katalog/detail?product=166" TargetMode="External"/><Relationship Id="rId157" Type="http://schemas.openxmlformats.org/officeDocument/2006/relationships/hyperlink" Target="mailto:tengkuarya00@gmail.com" TargetMode="External"/><Relationship Id="rId278" Type="http://schemas.openxmlformats.org/officeDocument/2006/relationships/hyperlink" Target="mailto:nantzzsec@gmail.com" TargetMode="External"/><Relationship Id="rId399" Type="http://schemas.openxmlformats.org/officeDocument/2006/relationships/hyperlink" Target="https://devel.pelni.co.id/ess/inquiry" TargetMode="External"/><Relationship Id="rId156" Type="http://schemas.openxmlformats.org/officeDocument/2006/relationships/hyperlink" Target="http://ppid.pelni.co.id/wp-content/plugins/elementor/" TargetMode="External"/><Relationship Id="rId277" Type="http://schemas.openxmlformats.org/officeDocument/2006/relationships/hyperlink" Target="https://ppid.pelni.co.id/wp-content/plugins/wp-table-builder" TargetMode="External"/><Relationship Id="rId398" Type="http://schemas.openxmlformats.org/officeDocument/2006/relationships/hyperlink" Target="mailto:nantzzsec@gmail.com" TargetMode="External"/><Relationship Id="rId155" Type="http://schemas.openxmlformats.org/officeDocument/2006/relationships/hyperlink" Target="https://drive.google.com/file/d/1t7Nqw8_IbY7YUUfJ9cI1czMZYse9RxA_/view?usp=drive_link" TargetMode="External"/><Relationship Id="rId276" Type="http://schemas.openxmlformats.org/officeDocument/2006/relationships/hyperlink" Target="mailto:nantzzsec@gmail.com" TargetMode="External"/><Relationship Id="rId397" Type="http://schemas.openxmlformats.org/officeDocument/2006/relationships/hyperlink" Target="https://devel.pelni.co.id/ess/inquiry" TargetMode="External"/><Relationship Id="rId40" Type="http://schemas.openxmlformats.org/officeDocument/2006/relationships/hyperlink" Target="https://drive.google.com/file/d/1t7Nqw8_IbY7YUUfJ9cI1czMZYse9RxA_/view?usp=drive_link" TargetMode="External"/><Relationship Id="rId42" Type="http://schemas.openxmlformats.org/officeDocument/2006/relationships/hyperlink" Target="https://drive.google.com/file/d/1t7Nqw8_IbY7YUUfJ9cI1czMZYse9RxA_/view?usp=drive_link" TargetMode="External"/><Relationship Id="rId41" Type="http://schemas.openxmlformats.org/officeDocument/2006/relationships/hyperlink" Target="mailto:tengkuarya00@gmail.com" TargetMode="External"/><Relationship Id="rId44" Type="http://schemas.openxmlformats.org/officeDocument/2006/relationships/hyperlink" Target="https://drive.google.com/file/d/1t7Nqw8_IbY7YUUfJ9cI1czMZYse9RxA_/view?usp=drive_link" TargetMode="External"/><Relationship Id="rId43" Type="http://schemas.openxmlformats.org/officeDocument/2006/relationships/hyperlink" Target="mailto:tengkuarya00@gmail.com" TargetMode="External"/><Relationship Id="rId46" Type="http://schemas.openxmlformats.org/officeDocument/2006/relationships/hyperlink" Target="mailto:nantzzsec@gmail.com" TargetMode="External"/><Relationship Id="rId45" Type="http://schemas.openxmlformats.org/officeDocument/2006/relationships/hyperlink" Target="https://tiket-gratis-dev.pelni.co.id/office/campaign/update/9e598a5a-58b6-4ddf-a5f2-dc442a379bc4" TargetMode="External"/><Relationship Id="rId509" Type="http://schemas.openxmlformats.org/officeDocument/2006/relationships/hyperlink" Target="https://devel.pelni.co.id/emutasi/proses/buat/darat" TargetMode="External"/><Relationship Id="rId508" Type="http://schemas.openxmlformats.org/officeDocument/2006/relationships/hyperlink" Target="mailto:tengkuarya00@gmail.com" TargetMode="External"/><Relationship Id="rId629" Type="http://schemas.openxmlformats.org/officeDocument/2006/relationships/hyperlink" Target="https://devel.pelni.co.id/emplooi/master/master_cabang/detail_cabang" TargetMode="External"/><Relationship Id="rId503" Type="http://schemas.openxmlformats.org/officeDocument/2006/relationships/hyperlink" Target="https://devel.pelni.co.id/emutasi/proses/buat/darat" TargetMode="External"/><Relationship Id="rId624" Type="http://schemas.openxmlformats.org/officeDocument/2006/relationships/hyperlink" Target="mailto:tengkuarya00@gmail.com" TargetMode="External"/><Relationship Id="rId502" Type="http://schemas.openxmlformats.org/officeDocument/2006/relationships/hyperlink" Target="mailto:tengkuarya00@gmail.com" TargetMode="External"/><Relationship Id="rId623" Type="http://schemas.openxmlformats.org/officeDocument/2006/relationships/hyperlink" Target="https://devel.pelni.co.id/emplooi/master/master_cabang/list_cabang" TargetMode="External"/><Relationship Id="rId501" Type="http://schemas.openxmlformats.org/officeDocument/2006/relationships/hyperlink" Target="https://devel.pelni.co.id/emutasi/pengaturan/jenis/laut" TargetMode="External"/><Relationship Id="rId622" Type="http://schemas.openxmlformats.org/officeDocument/2006/relationships/hyperlink" Target="mailto:tengkuarya00@gmail.com" TargetMode="External"/><Relationship Id="rId500" Type="http://schemas.openxmlformats.org/officeDocument/2006/relationships/hyperlink" Target="mailto:tengkuarya00@gmail.com" TargetMode="External"/><Relationship Id="rId621" Type="http://schemas.openxmlformats.org/officeDocument/2006/relationships/hyperlink" Target="https://devel.pelni.co.id/emplooi/master/master_kapal/edit_kapal" TargetMode="External"/><Relationship Id="rId507" Type="http://schemas.openxmlformats.org/officeDocument/2006/relationships/hyperlink" Target="https://devel.pelni.co.id/emutasi/proses/buat/darat" TargetMode="External"/><Relationship Id="rId628" Type="http://schemas.openxmlformats.org/officeDocument/2006/relationships/hyperlink" Target="mailto:tengkuarya00@gmail.com" TargetMode="External"/><Relationship Id="rId506" Type="http://schemas.openxmlformats.org/officeDocument/2006/relationships/hyperlink" Target="mailto:tengkuarya00@gmail.com" TargetMode="External"/><Relationship Id="rId627" Type="http://schemas.openxmlformats.org/officeDocument/2006/relationships/hyperlink" Target="https://devel.pelni.co.id/emplooi/master/master_cabang/detail_cabang" TargetMode="External"/><Relationship Id="rId505" Type="http://schemas.openxmlformats.org/officeDocument/2006/relationships/hyperlink" Target="https://devel.pelni.co.id/emutasi/proses/buat/darat" TargetMode="External"/><Relationship Id="rId626" Type="http://schemas.openxmlformats.org/officeDocument/2006/relationships/hyperlink" Target="mailto:tengkuarya00@gmail.com" TargetMode="External"/><Relationship Id="rId504" Type="http://schemas.openxmlformats.org/officeDocument/2006/relationships/hyperlink" Target="mailto:tengkuarya00@gmail.com" TargetMode="External"/><Relationship Id="rId625" Type="http://schemas.openxmlformats.org/officeDocument/2006/relationships/hyperlink" Target="https://devel.pelni.co.id/emplooi/master/master_cabang/detail_cabang" TargetMode="External"/><Relationship Id="rId48" Type="http://schemas.openxmlformats.org/officeDocument/2006/relationships/hyperlink" Target="https://tiket-gratis-dev.pelni.co.id/office/mutis-rute/update/9e61baab-6ba3-485c-902d-11971719654a" TargetMode="External"/><Relationship Id="rId47" Type="http://schemas.openxmlformats.org/officeDocument/2006/relationships/hyperlink" Target="https://drive.google.com/file/d/15uWflTwEAwvYNy0uyuHOqnqKqL3oB4c1/view?usp=sharing" TargetMode="External"/><Relationship Id="rId49" Type="http://schemas.openxmlformats.org/officeDocument/2006/relationships/hyperlink" Target="mailto:nantzzsec@gmail.com" TargetMode="External"/><Relationship Id="rId620" Type="http://schemas.openxmlformats.org/officeDocument/2006/relationships/hyperlink" Target="mailto:tengkuarya00@gmail.com" TargetMode="External"/><Relationship Id="rId31" Type="http://schemas.openxmlformats.org/officeDocument/2006/relationships/hyperlink" Target="mailto:nantzzsec@gmail.com" TargetMode="External"/><Relationship Id="rId30" Type="http://schemas.openxmlformats.org/officeDocument/2006/relationships/hyperlink" Target="https://tiket-gratis-dev.pelni.co.id/office/mutis-report" TargetMode="External"/><Relationship Id="rId33" Type="http://schemas.openxmlformats.org/officeDocument/2006/relationships/hyperlink" Target="https://tiket-gratis-dev.pelni.co.id/office/offline-mutis/" TargetMode="External"/><Relationship Id="rId32" Type="http://schemas.openxmlformats.org/officeDocument/2006/relationships/hyperlink" Target="https://drive.google.com/file/d/15uWflTwEAwvYNy0uyuHOqnqKqL3oB4c1/view?usp=sharing" TargetMode="External"/><Relationship Id="rId35" Type="http://schemas.openxmlformats.org/officeDocument/2006/relationships/hyperlink" Target="https://drive.google.com/file/d/15uWflTwEAwvYNy0uyuHOqnqKqL3oB4c1/view?usp=sharing" TargetMode="External"/><Relationship Id="rId34" Type="http://schemas.openxmlformats.org/officeDocument/2006/relationships/hyperlink" Target="mailto:nantzzsec@gmail.com" TargetMode="External"/><Relationship Id="rId619" Type="http://schemas.openxmlformats.org/officeDocument/2006/relationships/hyperlink" Target="https://devel.pelni.co.id/emplooi/master/master_kapal/detail_kapal" TargetMode="External"/><Relationship Id="rId618" Type="http://schemas.openxmlformats.org/officeDocument/2006/relationships/hyperlink" Target="mailto:tengkuarya00@gmail.com" TargetMode="External"/><Relationship Id="rId613" Type="http://schemas.openxmlformats.org/officeDocument/2006/relationships/hyperlink" Target="https://devel.pelni.co.id/ess/mutasi_penunjang" TargetMode="External"/><Relationship Id="rId612" Type="http://schemas.openxmlformats.org/officeDocument/2006/relationships/hyperlink" Target="mailto:tengkuarya00@gmail.com" TargetMode="External"/><Relationship Id="rId611" Type="http://schemas.openxmlformats.org/officeDocument/2006/relationships/hyperlink" Target="https://devel.pelni.co.id/ess/kontrak_penunjang" TargetMode="External"/><Relationship Id="rId610" Type="http://schemas.openxmlformats.org/officeDocument/2006/relationships/hyperlink" Target="mailto:tengkuarya00@gmail.com" TargetMode="External"/><Relationship Id="rId617" Type="http://schemas.openxmlformats.org/officeDocument/2006/relationships/hyperlink" Target="https://devel.pelni.co.id/emplooi/master/master_kapal/detail_kapal" TargetMode="External"/><Relationship Id="rId616" Type="http://schemas.openxmlformats.org/officeDocument/2006/relationships/hyperlink" Target="mailto:tengkuarya00@gmail.com" TargetMode="External"/><Relationship Id="rId615" Type="http://schemas.openxmlformats.org/officeDocument/2006/relationships/hyperlink" Target="https://devel.pelni.co.id/ess/mutasi_penunjang/get_list_request_mutasi" TargetMode="External"/><Relationship Id="rId614" Type="http://schemas.openxmlformats.org/officeDocument/2006/relationships/hyperlink" Target="mailto:tengkuarya00@gmail.com" TargetMode="External"/><Relationship Id="rId37" Type="http://schemas.openxmlformats.org/officeDocument/2006/relationships/hyperlink" Target="mailto:nantzzsec@gmail.com" TargetMode="External"/><Relationship Id="rId36" Type="http://schemas.openxmlformats.org/officeDocument/2006/relationships/hyperlink" Target="https://tiket-gratis-dev.pelni.co.id/office/mutis-finalization" TargetMode="External"/><Relationship Id="rId39" Type="http://schemas.openxmlformats.org/officeDocument/2006/relationships/hyperlink" Target="mailto:tengkuarya00@gmail.com" TargetMode="External"/><Relationship Id="rId38" Type="http://schemas.openxmlformats.org/officeDocument/2006/relationships/hyperlink" Target="https://drive.google.com/file/d/15uWflTwEAwvYNy0uyuHOqnqKqL3oB4c1/view?usp=sharing" TargetMode="External"/><Relationship Id="rId20" Type="http://schemas.openxmlformats.org/officeDocument/2006/relationships/hyperlink" Target="https://drive.google.com/file/d/15uWflTwEAwvYNy0uyuHOqnqKqL3oB4c1/view?usp=sharing" TargetMode="External"/><Relationship Id="rId22" Type="http://schemas.openxmlformats.org/officeDocument/2006/relationships/hyperlink" Target="mailto:nantzzsec@gmail.com" TargetMode="External"/><Relationship Id="rId21" Type="http://schemas.openxmlformats.org/officeDocument/2006/relationships/hyperlink" Target="https://tiket-gratis-dev.pelni.co.id/office/mutis-rute/save" TargetMode="External"/><Relationship Id="rId24" Type="http://schemas.openxmlformats.org/officeDocument/2006/relationships/hyperlink" Target="mailto:tengkuarya00@gmail.com" TargetMode="External"/><Relationship Id="rId23" Type="http://schemas.openxmlformats.org/officeDocument/2006/relationships/hyperlink" Target="https://drive.google.com/file/d/15uWflTwEAwvYNy0uyuHOqnqKqL3oB4c1/view?usp=sharing" TargetMode="External"/><Relationship Id="rId409" Type="http://schemas.openxmlformats.org/officeDocument/2006/relationships/hyperlink" Target="https://devel.pelni.co.id/ess/kontrak/list_request" TargetMode="External"/><Relationship Id="rId404" Type="http://schemas.openxmlformats.org/officeDocument/2006/relationships/hyperlink" Target="mailto:nantzzsec@gmail.com" TargetMode="External"/><Relationship Id="rId525" Type="http://schemas.openxmlformats.org/officeDocument/2006/relationships/hyperlink" Target="https://devel.pelni.co.id/emutasi/proses/buat/laut" TargetMode="External"/><Relationship Id="rId403" Type="http://schemas.openxmlformats.org/officeDocument/2006/relationships/hyperlink" Target="https://devel.pelni.co.id/ess/kontrak" TargetMode="External"/><Relationship Id="rId524" Type="http://schemas.openxmlformats.org/officeDocument/2006/relationships/hyperlink" Target="mailto:tengkuarya00@gmail.com" TargetMode="External"/><Relationship Id="rId402" Type="http://schemas.openxmlformats.org/officeDocument/2006/relationships/hyperlink" Target="mailto:nantzzsec@gmail.com" TargetMode="External"/><Relationship Id="rId523" Type="http://schemas.openxmlformats.org/officeDocument/2006/relationships/hyperlink" Target="https://devel.pelni.co.id/emutasi/proses/cari/darat" TargetMode="External"/><Relationship Id="rId401" Type="http://schemas.openxmlformats.org/officeDocument/2006/relationships/hyperlink" Target="https://devel.pelni.co.id/ess/inquiry" TargetMode="External"/><Relationship Id="rId522" Type="http://schemas.openxmlformats.org/officeDocument/2006/relationships/hyperlink" Target="mailto:tengkuarya00@gmail.com" TargetMode="External"/><Relationship Id="rId643" Type="http://schemas.openxmlformats.org/officeDocument/2006/relationships/table" Target="../tables/table2.xml"/><Relationship Id="rId408" Type="http://schemas.openxmlformats.org/officeDocument/2006/relationships/hyperlink" Target="mailto:nantzzsec@gmail.com" TargetMode="External"/><Relationship Id="rId529" Type="http://schemas.openxmlformats.org/officeDocument/2006/relationships/hyperlink" Target="https://devel.pelni.co.id/emutasi/proses/daftar/laut" TargetMode="External"/><Relationship Id="rId407" Type="http://schemas.openxmlformats.org/officeDocument/2006/relationships/hyperlink" Target="https://devel.pelni.co.id/ess/kontrak/list_request" TargetMode="External"/><Relationship Id="rId528" Type="http://schemas.openxmlformats.org/officeDocument/2006/relationships/hyperlink" Target="mailto:tengkuarya00@gmail.com" TargetMode="External"/><Relationship Id="rId406" Type="http://schemas.openxmlformats.org/officeDocument/2006/relationships/hyperlink" Target="mailto:nantzzsec@gmail.com" TargetMode="External"/><Relationship Id="rId527" Type="http://schemas.openxmlformats.org/officeDocument/2006/relationships/hyperlink" Target="https://devel.pelni.co.id/emutasi/proses/buat/laut" TargetMode="External"/><Relationship Id="rId405" Type="http://schemas.openxmlformats.org/officeDocument/2006/relationships/hyperlink" Target="https://devel.pelni.co.id/ess/kontrak" TargetMode="External"/><Relationship Id="rId526" Type="http://schemas.openxmlformats.org/officeDocument/2006/relationships/hyperlink" Target="mailto:tengkuarya00@gmail.com" TargetMode="External"/><Relationship Id="rId26" Type="http://schemas.openxmlformats.org/officeDocument/2006/relationships/hyperlink" Target="mailto:tengkuarya00@gmail.com" TargetMode="External"/><Relationship Id="rId25" Type="http://schemas.openxmlformats.org/officeDocument/2006/relationships/hyperlink" Target="https://drive.google.com/file/d/1t7Nqw8_IbY7YUUfJ9cI1czMZYse9RxA_/view?usp=drive_link" TargetMode="External"/><Relationship Id="rId28" Type="http://schemas.openxmlformats.org/officeDocument/2006/relationships/hyperlink" Target="mailto:tengkuarya00@gmail.com" TargetMode="External"/><Relationship Id="rId27" Type="http://schemas.openxmlformats.org/officeDocument/2006/relationships/hyperlink" Target="https://drive.google.com/file/d/1t7Nqw8_IbY7YUUfJ9cI1czMZYse9RxA_/view?usp=drive_link" TargetMode="External"/><Relationship Id="rId400" Type="http://schemas.openxmlformats.org/officeDocument/2006/relationships/hyperlink" Target="mailto:nantzzsec@gmail.com" TargetMode="External"/><Relationship Id="rId521" Type="http://schemas.openxmlformats.org/officeDocument/2006/relationships/hyperlink" Target="https://devel.pelni.co.id/emutasi/proses/cari/darat" TargetMode="External"/><Relationship Id="rId29" Type="http://schemas.openxmlformats.org/officeDocument/2006/relationships/hyperlink" Target="https://drive.google.com/file/d/1t7Nqw8_IbY7YUUfJ9cI1czMZYse9RxA_/view?usp=drive_link" TargetMode="External"/><Relationship Id="rId520" Type="http://schemas.openxmlformats.org/officeDocument/2006/relationships/hyperlink" Target="mailto:tengkuarya00@gmail.com" TargetMode="External"/><Relationship Id="rId641" Type="http://schemas.openxmlformats.org/officeDocument/2006/relationships/drawing" Target="../drawings/drawing2.xml"/><Relationship Id="rId640" Type="http://schemas.openxmlformats.org/officeDocument/2006/relationships/hyperlink" Target="mailto:tengkuarya00@gmail.com" TargetMode="External"/><Relationship Id="rId11" Type="http://schemas.openxmlformats.org/officeDocument/2006/relationships/hyperlink" Target="https://drive.google.com/file/d/15uWflTwEAwvYNy0uyuHOqnqKqL3oB4c1/view?usp=sharing" TargetMode="External"/><Relationship Id="rId10" Type="http://schemas.openxmlformats.org/officeDocument/2006/relationships/hyperlink" Target="mailto:nantzzsec@gmail.com" TargetMode="External"/><Relationship Id="rId13" Type="http://schemas.openxmlformats.org/officeDocument/2006/relationships/hyperlink" Target="mailto:nantzzsec@gmail.com" TargetMode="External"/><Relationship Id="rId12" Type="http://schemas.openxmlformats.org/officeDocument/2006/relationships/hyperlink" Target="https://tiket-gratis-dev.pelni.co.id/office/mutis-rute/update/9e61baab-6ba3-485c-902d-11971719654a" TargetMode="External"/><Relationship Id="rId519" Type="http://schemas.openxmlformats.org/officeDocument/2006/relationships/hyperlink" Target="https://devel.pelni.co.id/emutasi/proses/cari/darat" TargetMode="External"/><Relationship Id="rId514" Type="http://schemas.openxmlformats.org/officeDocument/2006/relationships/hyperlink" Target="mailto:tengkuarya00@gmail.com" TargetMode="External"/><Relationship Id="rId635" Type="http://schemas.openxmlformats.org/officeDocument/2006/relationships/hyperlink" Target="http://interface.pelni.co.id" TargetMode="External"/><Relationship Id="rId513" Type="http://schemas.openxmlformats.org/officeDocument/2006/relationships/hyperlink" Target="https://devel.pelni.co.id/emutasi/proses/daftar/darat" TargetMode="External"/><Relationship Id="rId634" Type="http://schemas.openxmlformats.org/officeDocument/2006/relationships/hyperlink" Target="mailto:tengkuarya00@gmail.com" TargetMode="External"/><Relationship Id="rId512" Type="http://schemas.openxmlformats.org/officeDocument/2006/relationships/hyperlink" Target="mailto:tengkuarya00@gmail.com" TargetMode="External"/><Relationship Id="rId633" Type="http://schemas.openxmlformats.org/officeDocument/2006/relationships/hyperlink" Target="https://crm.pelni.co.id/.git/" TargetMode="External"/><Relationship Id="rId511" Type="http://schemas.openxmlformats.org/officeDocument/2006/relationships/hyperlink" Target="https://devel.pelni.co.id/emutasi/proses/daftar/darat" TargetMode="External"/><Relationship Id="rId632" Type="http://schemas.openxmlformats.org/officeDocument/2006/relationships/hyperlink" Target="mailto:tengkuarya00@gmail.com" TargetMode="External"/><Relationship Id="rId518" Type="http://schemas.openxmlformats.org/officeDocument/2006/relationships/hyperlink" Target="mailto:tengkuarya00@gmail.com" TargetMode="External"/><Relationship Id="rId639" Type="http://schemas.openxmlformats.org/officeDocument/2006/relationships/hyperlink" Target="https://antrian.pelni.co.id/auth" TargetMode="External"/><Relationship Id="rId517" Type="http://schemas.openxmlformats.org/officeDocument/2006/relationships/hyperlink" Target="https://devel.pelni.co.id/emutasi/proses/daftar/darat" TargetMode="External"/><Relationship Id="rId638" Type="http://schemas.openxmlformats.org/officeDocument/2006/relationships/hyperlink" Target="mailto:tengkuarya00@gmail.com" TargetMode="External"/><Relationship Id="rId516" Type="http://schemas.openxmlformats.org/officeDocument/2006/relationships/hyperlink" Target="mailto:tengkuarya00@gmail.com" TargetMode="External"/><Relationship Id="rId637" Type="http://schemas.openxmlformats.org/officeDocument/2006/relationships/hyperlink" Target="https://antrian.pelni.co.id/.DS_Store" TargetMode="External"/><Relationship Id="rId515" Type="http://schemas.openxmlformats.org/officeDocument/2006/relationships/hyperlink" Target="https://devel.pelni.co.id/emutasi/proses/daftar/darat" TargetMode="External"/><Relationship Id="rId636" Type="http://schemas.openxmlformats.org/officeDocument/2006/relationships/hyperlink" Target="mailto:tengkuarya00@gmail.com" TargetMode="External"/><Relationship Id="rId15" Type="http://schemas.openxmlformats.org/officeDocument/2006/relationships/hyperlink" Target="https://tiket-gratis-dev.pelni.co.id/office/campaign/update/9e598a5a-58b6-4ddf-a5f2-dc442a379bc4" TargetMode="External"/><Relationship Id="rId14" Type="http://schemas.openxmlformats.org/officeDocument/2006/relationships/hyperlink" Target="https://drive.google.com/file/d/15uWflTwEAwvYNy0uyuHOqnqKqL3oB4c1/view?usp=sharing" TargetMode="External"/><Relationship Id="rId17" Type="http://schemas.openxmlformats.org/officeDocument/2006/relationships/hyperlink" Target="https://drive.google.com/file/d/15uWflTwEAwvYNy0uyuHOqnqKqL3oB4c1/view?usp=sharing" TargetMode="External"/><Relationship Id="rId16" Type="http://schemas.openxmlformats.org/officeDocument/2006/relationships/hyperlink" Target="mailto:nantzzsec@gmail.com" TargetMode="External"/><Relationship Id="rId19" Type="http://schemas.openxmlformats.org/officeDocument/2006/relationships/hyperlink" Target="mailto:nantzzsec@gmail.com" TargetMode="External"/><Relationship Id="rId510" Type="http://schemas.openxmlformats.org/officeDocument/2006/relationships/hyperlink" Target="mailto:tengkuarya00@gmail.com" TargetMode="External"/><Relationship Id="rId631" Type="http://schemas.openxmlformats.org/officeDocument/2006/relationships/hyperlink" Target="https://devel-interface.pelni.co.id/.git" TargetMode="External"/><Relationship Id="rId18" Type="http://schemas.openxmlformats.org/officeDocument/2006/relationships/hyperlink" Target="https://tiket-gratis-dev.pelni.co.id/office/campaign/update/9e598a5a-58b6-4ddf-a5f2-dc442a379bc4" TargetMode="External"/><Relationship Id="rId630" Type="http://schemas.openxmlformats.org/officeDocument/2006/relationships/hyperlink" Target="mailto:tengkuarya00@gmail.com" TargetMode="External"/><Relationship Id="rId84" Type="http://schemas.openxmlformats.org/officeDocument/2006/relationships/hyperlink" Target="https://pms-kapaldev.pelni.co.id/resend-activate-account" TargetMode="External"/><Relationship Id="rId83" Type="http://schemas.openxmlformats.org/officeDocument/2006/relationships/hyperlink" Target="https://drive.google.com/file/d/15uWflTwEAwvYNy0uyuHOqnqKqL3oB4c1/view?usp=sharing" TargetMode="External"/><Relationship Id="rId86" Type="http://schemas.openxmlformats.org/officeDocument/2006/relationships/hyperlink" Target="https://drive.google.com/file/d/15uWflTwEAwvYNy0uyuHOqnqKqL3oB4c1/view?usp=sharing" TargetMode="External"/><Relationship Id="rId85" Type="http://schemas.openxmlformats.org/officeDocument/2006/relationships/hyperlink" Target="mailto:nantzzsec@gmail.com" TargetMode="External"/><Relationship Id="rId88" Type="http://schemas.openxmlformats.org/officeDocument/2006/relationships/hyperlink" Target="mailto:nantzzsec@gmail.com" TargetMode="External"/><Relationship Id="rId87" Type="http://schemas.openxmlformats.org/officeDocument/2006/relationships/hyperlink" Target="https://customers.pelni.co.id/" TargetMode="External"/><Relationship Id="rId89" Type="http://schemas.openxmlformats.org/officeDocument/2006/relationships/hyperlink" Target="https://drive.google.com/file/d/15uWflTwEAwvYNy0uyuHOqnqKqL3oB4c1/view?usp=sharing" TargetMode="External"/><Relationship Id="rId80" Type="http://schemas.openxmlformats.org/officeDocument/2006/relationships/hyperlink" Target="https://drive.google.com/file/d/15uWflTwEAwvYNy0uyuHOqnqKqL3oB4c1/view?usp=sharing" TargetMode="External"/><Relationship Id="rId82" Type="http://schemas.openxmlformats.org/officeDocument/2006/relationships/hyperlink" Target="mailto:nantzzsec@gmail.com" TargetMode="External"/><Relationship Id="rId81" Type="http://schemas.openxmlformats.org/officeDocument/2006/relationships/hyperlink" Target="https://agencies.pelni.co.id/" TargetMode="External"/><Relationship Id="rId73" Type="http://schemas.openxmlformats.org/officeDocument/2006/relationships/hyperlink" Target="mailto:nantzzsec@gmail.com" TargetMode="External"/><Relationship Id="rId72" Type="http://schemas.openxmlformats.org/officeDocument/2006/relationships/hyperlink" Target="https://joget.pelni.co.id/jw/web/userview/internal/pelni_commerce/_/pwaoffline" TargetMode="External"/><Relationship Id="rId75" Type="http://schemas.openxmlformats.org/officeDocument/2006/relationships/hyperlink" Target="https://pms.pelni.co.id/info.php" TargetMode="External"/><Relationship Id="rId74" Type="http://schemas.openxmlformats.org/officeDocument/2006/relationships/hyperlink" Target="https://drive.google.com/file/d/15uWflTwEAwvYNy0uyuHOqnqKqL3oB4c1/view?usp=sharing" TargetMode="External"/><Relationship Id="rId77" Type="http://schemas.openxmlformats.org/officeDocument/2006/relationships/hyperlink" Target="https://drive.google.com/file/d/1t7Nqw8_IbY7YUUfJ9cI1czMZYse9RxA_/view?usp=drive_link" TargetMode="External"/><Relationship Id="rId76" Type="http://schemas.openxmlformats.org/officeDocument/2006/relationships/hyperlink" Target="mailto:tengkuarya00@gmail.com" TargetMode="External"/><Relationship Id="rId79" Type="http://schemas.openxmlformats.org/officeDocument/2006/relationships/hyperlink" Target="mailto:nantzzsec@gmail.com" TargetMode="External"/><Relationship Id="rId78" Type="http://schemas.openxmlformats.org/officeDocument/2006/relationships/hyperlink" Target="https://tiket.pelni.co.id/" TargetMode="External"/><Relationship Id="rId71" Type="http://schemas.openxmlformats.org/officeDocument/2006/relationships/hyperlink" Target="https://drive.google.com/file/d/1t7Nqw8_IbY7YUUfJ9cI1czMZYse9RxA_/view?usp=drive_link" TargetMode="External"/><Relationship Id="rId70" Type="http://schemas.openxmlformats.org/officeDocument/2006/relationships/hyperlink" Target="mailto:tengkuarya00@gmail.com" TargetMode="External"/><Relationship Id="rId62" Type="http://schemas.openxmlformats.org/officeDocument/2006/relationships/hyperlink" Target="https://drive.google.com/file/d/15uWflTwEAwvYNy0uyuHOqnqKqL3oB4c1/view?usp=sharing" TargetMode="External"/><Relationship Id="rId61" Type="http://schemas.openxmlformats.org/officeDocument/2006/relationships/hyperlink" Target="mailto:nantzzsec@gmail.com" TargetMode="External"/><Relationship Id="rId64" Type="http://schemas.openxmlformats.org/officeDocument/2006/relationships/hyperlink" Target="mailto:tengkuarya00@gmail.com" TargetMode="External"/><Relationship Id="rId63" Type="http://schemas.openxmlformats.org/officeDocument/2006/relationships/hyperlink" Target="https://karir.pelni.co.id/job-list?perusahaan=1&amp;jns_karir=L&amp;mnt_karir=2" TargetMode="External"/><Relationship Id="rId66" Type="http://schemas.openxmlformats.org/officeDocument/2006/relationships/hyperlink" Target="https://winona.pelni.co.id/.vscode/launch.json" TargetMode="External"/><Relationship Id="rId65" Type="http://schemas.openxmlformats.org/officeDocument/2006/relationships/hyperlink" Target="https://drive.google.com/file/d/1t7Nqw8_IbY7YUUfJ9cI1czMZYse9RxA_/view?usp=drive_link" TargetMode="External"/><Relationship Id="rId68" Type="http://schemas.openxmlformats.org/officeDocument/2006/relationships/hyperlink" Target="https://drive.google.com/file/d/1t7Nqw8_IbY7YUUfJ9cI1czMZYse9RxA_/view?usp=drive_link" TargetMode="External"/><Relationship Id="rId67" Type="http://schemas.openxmlformats.org/officeDocument/2006/relationships/hyperlink" Target="mailto:tengkuarya00@gmail.com" TargetMode="External"/><Relationship Id="rId609" Type="http://schemas.openxmlformats.org/officeDocument/2006/relationships/hyperlink" Target="https://devel.pelni.co.id/ess/kontrak_penunjang" TargetMode="External"/><Relationship Id="rId608" Type="http://schemas.openxmlformats.org/officeDocument/2006/relationships/hyperlink" Target="mailto:tengkuarya00@gmail.com" TargetMode="External"/><Relationship Id="rId607" Type="http://schemas.openxmlformats.org/officeDocument/2006/relationships/hyperlink" Target="https://devel.pelni.co.id/ess/kontrak_penunjang" TargetMode="External"/><Relationship Id="rId60" Type="http://schemas.openxmlformats.org/officeDocument/2006/relationships/hyperlink" Target="https://sinar.pelni.co.id/" TargetMode="External"/><Relationship Id="rId602" Type="http://schemas.openxmlformats.org/officeDocument/2006/relationships/hyperlink" Target="mailto:tengkuarya00@gmail.com" TargetMode="External"/><Relationship Id="rId601" Type="http://schemas.openxmlformats.org/officeDocument/2006/relationships/hyperlink" Target="https://devel.pelni.co.id/ess/inquiry_penunjang" TargetMode="External"/><Relationship Id="rId600" Type="http://schemas.openxmlformats.org/officeDocument/2006/relationships/hyperlink" Target="mailto:tengkuarya00@gmail.com" TargetMode="External"/><Relationship Id="rId606" Type="http://schemas.openxmlformats.org/officeDocument/2006/relationships/hyperlink" Target="mailto:tengkuarya00@gmail.com" TargetMode="External"/><Relationship Id="rId605" Type="http://schemas.openxmlformats.org/officeDocument/2006/relationships/hyperlink" Target="https://devel.pelni.co.id/ess/inquiry_penunjang" TargetMode="External"/><Relationship Id="rId604" Type="http://schemas.openxmlformats.org/officeDocument/2006/relationships/hyperlink" Target="mailto:tengkuarya00@gmail.com" TargetMode="External"/><Relationship Id="rId603" Type="http://schemas.openxmlformats.org/officeDocument/2006/relationships/hyperlink" Target="https://devel.pelni.co.id/ess/inquiry_penunjang" TargetMode="External"/><Relationship Id="rId69" Type="http://schemas.openxmlformats.org/officeDocument/2006/relationships/hyperlink" Target="https://winona.pelni.co.id/" TargetMode="External"/><Relationship Id="rId51" Type="http://schemas.openxmlformats.org/officeDocument/2006/relationships/hyperlink" Target="https://tiket-gratis-dev.pelni.co.id/daftar-tiket-gratis/9e4d828c-5d35-4a11-995c-4dc55ea68fc6" TargetMode="External"/><Relationship Id="rId50" Type="http://schemas.openxmlformats.org/officeDocument/2006/relationships/hyperlink" Target="https://drive.google.com/file/d/15uWflTwEAwvYNy0uyuHOqnqKqL3oB4c1/view?usp=sharing" TargetMode="External"/><Relationship Id="rId53" Type="http://schemas.openxmlformats.org/officeDocument/2006/relationships/hyperlink" Target="https://drive.google.com/file/d/1t7Nqw8_IbY7YUUfJ9cI1czMZYse9RxA_/view?usp=drive_link" TargetMode="External"/><Relationship Id="rId52" Type="http://schemas.openxmlformats.org/officeDocument/2006/relationships/hyperlink" Target="mailto:tengkuarya00@gmail.com" TargetMode="External"/><Relationship Id="rId55" Type="http://schemas.openxmlformats.org/officeDocument/2006/relationships/hyperlink" Target="mailto:tengkuarya00@gmail.com" TargetMode="External"/><Relationship Id="rId54" Type="http://schemas.openxmlformats.org/officeDocument/2006/relationships/hyperlink" Target="https://tiket-gratis-dev.pelni.co.id/" TargetMode="External"/><Relationship Id="rId57" Type="http://schemas.openxmlformats.org/officeDocument/2006/relationships/hyperlink" Target="https://pelni.co.id/cfind/source/files/asset-darat/pt%20pelnibukti%20pemesanan%20tiket%20online%208824760891%201.pdf" TargetMode="External"/><Relationship Id="rId56" Type="http://schemas.openxmlformats.org/officeDocument/2006/relationships/hyperlink" Target="https://drive.google.com/file/d/1t7Nqw8_IbY7YUUfJ9cI1czMZYse9RxA_/view?usp=drive_link" TargetMode="External"/><Relationship Id="rId59" Type="http://schemas.openxmlformats.org/officeDocument/2006/relationships/hyperlink" Target="https://drive.google.com/file/d/1t7Nqw8_IbY7YUUfJ9cI1czMZYse9RxA_/view?usp=drive_link" TargetMode="External"/><Relationship Id="rId58" Type="http://schemas.openxmlformats.org/officeDocument/2006/relationships/hyperlink" Target="mailto:tengkuarya00@gmail.com" TargetMode="External"/><Relationship Id="rId590" Type="http://schemas.openxmlformats.org/officeDocument/2006/relationships/hyperlink" Target="mailto:tengkuarya00@gmail.com" TargetMode="External"/><Relationship Id="rId107" Type="http://schemas.openxmlformats.org/officeDocument/2006/relationships/hyperlink" Target="https://drive.google.com/file/d/15uWflTwEAwvYNy0uyuHOqnqKqL3oB4c1/view?usp=sharing" TargetMode="External"/><Relationship Id="rId228" Type="http://schemas.openxmlformats.org/officeDocument/2006/relationships/hyperlink" Target="mailto:nantzzsec@gmail.com" TargetMode="External"/><Relationship Id="rId349" Type="http://schemas.openxmlformats.org/officeDocument/2006/relationships/hyperlink" Target="https://devel.pelni.co.id/perintis/perintis_tarif/tarif_add_form" TargetMode="External"/><Relationship Id="rId106" Type="http://schemas.openxmlformats.org/officeDocument/2006/relationships/hyperlink" Target="mailto:nantzzsec@gmail.com" TargetMode="External"/><Relationship Id="rId227" Type="http://schemas.openxmlformats.org/officeDocument/2006/relationships/hyperlink" Target="https://ppid-dev.pelni.co.id/wp-content/plugins/elementor/" TargetMode="External"/><Relationship Id="rId348" Type="http://schemas.openxmlformats.org/officeDocument/2006/relationships/hyperlink" Target="mailto:nantzzsec@gmail.com" TargetMode="External"/><Relationship Id="rId469" Type="http://schemas.openxmlformats.org/officeDocument/2006/relationships/hyperlink" Target="https://devel.pelni.co.id/emutasi/pengaturan/kategori/darat" TargetMode="External"/><Relationship Id="rId105" Type="http://schemas.openxmlformats.org/officeDocument/2006/relationships/hyperlink" Target="https://www.pelni.co.id/" TargetMode="External"/><Relationship Id="rId226" Type="http://schemas.openxmlformats.org/officeDocument/2006/relationships/hyperlink" Target="mailto:nantzzsec@gmail.com" TargetMode="External"/><Relationship Id="rId347" Type="http://schemas.openxmlformats.org/officeDocument/2006/relationships/hyperlink" Target="https://devel.pelni.co.id/perintis/perintis_tarif/detail_tarif_jadwal/5726" TargetMode="External"/><Relationship Id="rId468" Type="http://schemas.openxmlformats.org/officeDocument/2006/relationships/hyperlink" Target="mailto:tengkuarya00@gmail.com" TargetMode="External"/><Relationship Id="rId589" Type="http://schemas.openxmlformats.org/officeDocument/2006/relationships/hyperlink" Target="https://devel.pelni.co.id/emutasi/dashboard/laut" TargetMode="External"/><Relationship Id="rId104" Type="http://schemas.openxmlformats.org/officeDocument/2006/relationships/hyperlink" Target="https://drive.google.com/file/d/15uWflTwEAwvYNy0uyuHOqnqKqL3oB4c1/view?usp=sharing" TargetMode="External"/><Relationship Id="rId225" Type="http://schemas.openxmlformats.org/officeDocument/2006/relationships/hyperlink" Target="mailto:nantzzsec@gmail.com" TargetMode="External"/><Relationship Id="rId346" Type="http://schemas.openxmlformats.org/officeDocument/2006/relationships/hyperlink" Target="mailto:nantzzsec@gmail.com" TargetMode="External"/><Relationship Id="rId467" Type="http://schemas.openxmlformats.org/officeDocument/2006/relationships/hyperlink" Target="https://devel.pelni.co.id/emutasi/pengaturan/kategori/darat" TargetMode="External"/><Relationship Id="rId588" Type="http://schemas.openxmlformats.org/officeDocument/2006/relationships/hyperlink" Target="mailto:tengkuarya00@gmail.com" TargetMode="External"/><Relationship Id="rId109" Type="http://schemas.openxmlformats.org/officeDocument/2006/relationships/hyperlink" Target="mailto:nantzzsec@gmail.com" TargetMode="External"/><Relationship Id="rId108" Type="http://schemas.openxmlformats.org/officeDocument/2006/relationships/hyperlink" Target="https://camar.pelni.co.id/logincamar/" TargetMode="External"/><Relationship Id="rId229" Type="http://schemas.openxmlformats.org/officeDocument/2006/relationships/hyperlink" Target="https://karir.pelni.co.id/api/notif/134377" TargetMode="External"/><Relationship Id="rId220" Type="http://schemas.openxmlformats.org/officeDocument/2006/relationships/hyperlink" Target="mailto:nantzzsec@gmail.com" TargetMode="External"/><Relationship Id="rId341" Type="http://schemas.openxmlformats.org/officeDocument/2006/relationships/hyperlink" Target="https://devel.pelni.co.id/perintis/perintis_tarif/excel_tarif/839" TargetMode="External"/><Relationship Id="rId462" Type="http://schemas.openxmlformats.org/officeDocument/2006/relationships/hyperlink" Target="mailto:tengkuarya00@gmail.com" TargetMode="External"/><Relationship Id="rId583" Type="http://schemas.openxmlformats.org/officeDocument/2006/relationships/hyperlink" Target="https://devel.pelni.co.id/emutasi/proses/cari/laut" TargetMode="External"/><Relationship Id="rId340" Type="http://schemas.openxmlformats.org/officeDocument/2006/relationships/hyperlink" Target="mailto:nantzzsec@gmail.com" TargetMode="External"/><Relationship Id="rId461" Type="http://schemas.openxmlformats.org/officeDocument/2006/relationships/hyperlink" Target="https://devel.pelni.co.id/crm/Workforce" TargetMode="External"/><Relationship Id="rId582" Type="http://schemas.openxmlformats.org/officeDocument/2006/relationships/hyperlink" Target="mailto:tengkuarya00@gmail.com" TargetMode="External"/><Relationship Id="rId460" Type="http://schemas.openxmlformats.org/officeDocument/2006/relationships/hyperlink" Target="mailto:tengkuarya00@gmail.com" TargetMode="External"/><Relationship Id="rId581" Type="http://schemas.openxmlformats.org/officeDocument/2006/relationships/hyperlink" Target="https://devel.pelni.co.id/emutasi/proses/cari/laut" TargetMode="External"/><Relationship Id="rId580" Type="http://schemas.openxmlformats.org/officeDocument/2006/relationships/hyperlink" Target="mailto:tengkuarya00@gmail.com" TargetMode="External"/><Relationship Id="rId103" Type="http://schemas.openxmlformats.org/officeDocument/2006/relationships/hyperlink" Target="mailto:nantzzsec@gmail.com" TargetMode="External"/><Relationship Id="rId224" Type="http://schemas.openxmlformats.org/officeDocument/2006/relationships/hyperlink" Target="https://ppid-dev.pelni.co.id/wp-content/plugins/akismet/" TargetMode="External"/><Relationship Id="rId345" Type="http://schemas.openxmlformats.org/officeDocument/2006/relationships/hyperlink" Target="https://devel.pelni.co.id/perintis/perintis_tarif/detail_tarif/839" TargetMode="External"/><Relationship Id="rId466" Type="http://schemas.openxmlformats.org/officeDocument/2006/relationships/hyperlink" Target="mailto:tengkuarya00@gmail.com" TargetMode="External"/><Relationship Id="rId587" Type="http://schemas.openxmlformats.org/officeDocument/2006/relationships/hyperlink" Target="https://devel.pelni.co.id/emutasi/dashboard/darat" TargetMode="External"/><Relationship Id="rId102" Type="http://schemas.openxmlformats.org/officeDocument/2006/relationships/hyperlink" Target="https://eproc-extranet-dev.pelni.co.id/" TargetMode="External"/><Relationship Id="rId223" Type="http://schemas.openxmlformats.org/officeDocument/2006/relationships/hyperlink" Target="mailto:nantzzsec@gmail.com" TargetMode="External"/><Relationship Id="rId344" Type="http://schemas.openxmlformats.org/officeDocument/2006/relationships/hyperlink" Target="mailto:nantzzsec@gmail.com" TargetMode="External"/><Relationship Id="rId465" Type="http://schemas.openxmlformats.org/officeDocument/2006/relationships/hyperlink" Target="https://devel.pelni.co.id/emutasi/pengaturan/get_kategori_table" TargetMode="External"/><Relationship Id="rId586" Type="http://schemas.openxmlformats.org/officeDocument/2006/relationships/hyperlink" Target="mailto:tengkuarya00@gmail.com" TargetMode="External"/><Relationship Id="rId101" Type="http://schemas.openxmlformats.org/officeDocument/2006/relationships/hyperlink" Target="https://drive.google.com/file/d/15uWflTwEAwvYNy0uyuHOqnqKqL3oB4c1/view?usp=sharing" TargetMode="External"/><Relationship Id="rId222" Type="http://schemas.openxmlformats.org/officeDocument/2006/relationships/hyperlink" Target="https://ppid.pelni.co.id/" TargetMode="External"/><Relationship Id="rId343" Type="http://schemas.openxmlformats.org/officeDocument/2006/relationships/hyperlink" Target="https://devel.pelni.co.id/perintis/perintis_tarif/pdf_tarif/839" TargetMode="External"/><Relationship Id="rId464" Type="http://schemas.openxmlformats.org/officeDocument/2006/relationships/hyperlink" Target="mailto:tengkuarya00@gmail.com" TargetMode="External"/><Relationship Id="rId585" Type="http://schemas.openxmlformats.org/officeDocument/2006/relationships/hyperlink" Target="https://devel.pelni.co.id/emutasi/dashboard/darat" TargetMode="External"/><Relationship Id="rId100" Type="http://schemas.openxmlformats.org/officeDocument/2006/relationships/hyperlink" Target="mailto:nantzzsec@gmail.com" TargetMode="External"/><Relationship Id="rId221" Type="http://schemas.openxmlformats.org/officeDocument/2006/relationships/hyperlink" Target="https://drive.google.com/file/d/15uWflTwEAwvYNy0uyuHOqnqKqL3oB4c1/view?usp=sharing" TargetMode="External"/><Relationship Id="rId342" Type="http://schemas.openxmlformats.org/officeDocument/2006/relationships/hyperlink" Target="mailto:nantzzsec@gmail.com" TargetMode="External"/><Relationship Id="rId463" Type="http://schemas.openxmlformats.org/officeDocument/2006/relationships/hyperlink" Target="https://devel.pelni.co.id/emutasi/pengaturan/kategori/darat" TargetMode="External"/><Relationship Id="rId584" Type="http://schemas.openxmlformats.org/officeDocument/2006/relationships/hyperlink" Target="mailto:tengkuarya00@gmail.com" TargetMode="External"/><Relationship Id="rId217" Type="http://schemas.openxmlformats.org/officeDocument/2006/relationships/hyperlink" Target="mailto:nantzzsec@gmail.com" TargetMode="External"/><Relationship Id="rId338" Type="http://schemas.openxmlformats.org/officeDocument/2006/relationships/hyperlink" Target="mailto:nantzzsec@gmail.com" TargetMode="External"/><Relationship Id="rId459" Type="http://schemas.openxmlformats.org/officeDocument/2006/relationships/hyperlink" Target="https://devel.pelni.co.id/ess/mpp/buat" TargetMode="External"/><Relationship Id="rId216" Type="http://schemas.openxmlformats.org/officeDocument/2006/relationships/hyperlink" Target="http://ppid.pelni.co.id/wp-content/plugins/elementor/" TargetMode="External"/><Relationship Id="rId337" Type="http://schemas.openxmlformats.org/officeDocument/2006/relationships/hyperlink" Target="https://devel.pelni.co.id/ess/absensi" TargetMode="External"/><Relationship Id="rId458" Type="http://schemas.openxmlformats.org/officeDocument/2006/relationships/hyperlink" Target="mailto:tengkuarya00@gmail.com" TargetMode="External"/><Relationship Id="rId579" Type="http://schemas.openxmlformats.org/officeDocument/2006/relationships/hyperlink" Target="https://devel.pelni.co.id/emutasi/proses/cari/laut" TargetMode="External"/><Relationship Id="rId215" Type="http://schemas.openxmlformats.org/officeDocument/2006/relationships/hyperlink" Target="https://drive.google.com/file/d/15uWflTwEAwvYNy0uyuHOqnqKqL3oB4c1/view?usp=sharing" TargetMode="External"/><Relationship Id="rId336" Type="http://schemas.openxmlformats.org/officeDocument/2006/relationships/hyperlink" Target="mailto:nantzzsec@gmail.com" TargetMode="External"/><Relationship Id="rId457" Type="http://schemas.openxmlformats.org/officeDocument/2006/relationships/hyperlink" Target="https://devel.pelni.co.id/personalia/personalia" TargetMode="External"/><Relationship Id="rId578" Type="http://schemas.openxmlformats.org/officeDocument/2006/relationships/hyperlink" Target="mailto:tengkuarya00@gmail.com" TargetMode="External"/><Relationship Id="rId214" Type="http://schemas.openxmlformats.org/officeDocument/2006/relationships/hyperlink" Target="mailto:nantzzsec@gmail.com" TargetMode="External"/><Relationship Id="rId335" Type="http://schemas.openxmlformats.org/officeDocument/2006/relationships/hyperlink" Target="https://devel.pelni.co.id/perintis/perintis_tarif_muatan/pdf_tarif_muatan/98" TargetMode="External"/><Relationship Id="rId456" Type="http://schemas.openxmlformats.org/officeDocument/2006/relationships/hyperlink" Target="mailto:tengkuarya00@gmail.com" TargetMode="External"/><Relationship Id="rId577" Type="http://schemas.openxmlformats.org/officeDocument/2006/relationships/hyperlink" Target="https://devel.pelni.co.id/absensi/absensimanual" TargetMode="External"/><Relationship Id="rId219" Type="http://schemas.openxmlformats.org/officeDocument/2006/relationships/hyperlink" Target="http://ppid.pelni.co.id/wp-content/plugins/elementor/" TargetMode="External"/><Relationship Id="rId218" Type="http://schemas.openxmlformats.org/officeDocument/2006/relationships/hyperlink" Target="https://drive.google.com/file/d/15uWflTwEAwvYNy0uyuHOqnqKqL3oB4c1/view?usp=sharing" TargetMode="External"/><Relationship Id="rId339" Type="http://schemas.openxmlformats.org/officeDocument/2006/relationships/hyperlink" Target="https://devel.pelni.co.id/spj/pegawai/approval" TargetMode="External"/><Relationship Id="rId330" Type="http://schemas.openxmlformats.org/officeDocument/2006/relationships/hyperlink" Target="mailto:nantzzsec@gmail.com" TargetMode="External"/><Relationship Id="rId451" Type="http://schemas.openxmlformats.org/officeDocument/2006/relationships/hyperlink" Target="https://devel.pelni.co.id/ess/hukumanpenghargaan" TargetMode="External"/><Relationship Id="rId572" Type="http://schemas.openxmlformats.org/officeDocument/2006/relationships/hyperlink" Target="mailto:tengkuarya00@gmail.com" TargetMode="External"/><Relationship Id="rId450" Type="http://schemas.openxmlformats.org/officeDocument/2006/relationships/hyperlink" Target="mailto:tengkuarya00@gmail.com" TargetMode="External"/><Relationship Id="rId571" Type="http://schemas.openxmlformats.org/officeDocument/2006/relationships/hyperlink" Target="https://devel.pelni.co.id/absensi/absensimanual" TargetMode="External"/><Relationship Id="rId570" Type="http://schemas.openxmlformats.org/officeDocument/2006/relationships/hyperlink" Target="mailto:tengkuarya00@gmail.com" TargetMode="External"/><Relationship Id="rId213" Type="http://schemas.openxmlformats.org/officeDocument/2006/relationships/hyperlink" Target="http://ppid.pelni.co.id/wp-content/plugins/elementor/" TargetMode="External"/><Relationship Id="rId334" Type="http://schemas.openxmlformats.org/officeDocument/2006/relationships/hyperlink" Target="mailto:nantzzsec@gmail.com" TargetMode="External"/><Relationship Id="rId455" Type="http://schemas.openxmlformats.org/officeDocument/2006/relationships/hyperlink" Target="https://devel.pelni.co.id/ess/pengaturan" TargetMode="External"/><Relationship Id="rId576" Type="http://schemas.openxmlformats.org/officeDocument/2006/relationships/hyperlink" Target="mailto:tengkuarya00@gmail.com" TargetMode="External"/><Relationship Id="rId212" Type="http://schemas.openxmlformats.org/officeDocument/2006/relationships/hyperlink" Target="https://drive.google.com/file/d/15uWflTwEAwvYNy0uyuHOqnqKqL3oB4c1/view?usp=sharing" TargetMode="External"/><Relationship Id="rId333" Type="http://schemas.openxmlformats.org/officeDocument/2006/relationships/hyperlink" Target="https://devel.pelni.co.id/perintis/perintis_tarif_muatan/detail_tarif_muatan/98" TargetMode="External"/><Relationship Id="rId454" Type="http://schemas.openxmlformats.org/officeDocument/2006/relationships/hyperlink" Target="mailto:tengkuarya00@gmail.com" TargetMode="External"/><Relationship Id="rId575" Type="http://schemas.openxmlformats.org/officeDocument/2006/relationships/hyperlink" Target="https://devel.pelni.co.id/absensi/absensimanual" TargetMode="External"/><Relationship Id="rId211" Type="http://schemas.openxmlformats.org/officeDocument/2006/relationships/hyperlink" Target="mailto:nantzzsec@gmail.com" TargetMode="External"/><Relationship Id="rId332" Type="http://schemas.openxmlformats.org/officeDocument/2006/relationships/hyperlink" Target="mailto:nantzzsec@gmail.com" TargetMode="External"/><Relationship Id="rId453" Type="http://schemas.openxmlformats.org/officeDocument/2006/relationships/hyperlink" Target="https://devel.pelni.co.id/ess/pengaturan" TargetMode="External"/><Relationship Id="rId574" Type="http://schemas.openxmlformats.org/officeDocument/2006/relationships/hyperlink" Target="mailto:tengkuarya00@gmail.com" TargetMode="External"/><Relationship Id="rId210" Type="http://schemas.openxmlformats.org/officeDocument/2006/relationships/hyperlink" Target="http://ppid.pelni.co.id/wp-content/plugins/elementor/" TargetMode="External"/><Relationship Id="rId331" Type="http://schemas.openxmlformats.org/officeDocument/2006/relationships/hyperlink" Target="https://devel.pelni.co.id/perintis/perintis_tarif/pdf_tarif/1" TargetMode="External"/><Relationship Id="rId452" Type="http://schemas.openxmlformats.org/officeDocument/2006/relationships/hyperlink" Target="mailto:tengkuarya00@gmail.com" TargetMode="External"/><Relationship Id="rId573" Type="http://schemas.openxmlformats.org/officeDocument/2006/relationships/hyperlink" Target="https://devel.pelni.co.id/absensi/absensimanual" TargetMode="External"/><Relationship Id="rId370" Type="http://schemas.openxmlformats.org/officeDocument/2006/relationships/hyperlink" Target="https://devel.pelni.co.id/hrm/organisasi" TargetMode="External"/><Relationship Id="rId491" Type="http://schemas.openxmlformats.org/officeDocument/2006/relationships/hyperlink" Target="https://devel.pelni.co.id/emutasi/pengaturan/kategori/laut" TargetMode="External"/><Relationship Id="rId490" Type="http://schemas.openxmlformats.org/officeDocument/2006/relationships/hyperlink" Target="mailto:tengkuarya00@gmail.com" TargetMode="External"/><Relationship Id="rId129" Type="http://schemas.openxmlformats.org/officeDocument/2006/relationships/hyperlink" Target="http://ppid.pelni.co.id/wp-content/plugins/elementor/" TargetMode="External"/><Relationship Id="rId128" Type="http://schemas.openxmlformats.org/officeDocument/2006/relationships/hyperlink" Target="https://drive.google.com/file/d/1t7Nqw8_IbY7YUUfJ9cI1czMZYse9RxA_/view?usp=drive_link" TargetMode="External"/><Relationship Id="rId249" Type="http://schemas.openxmlformats.org/officeDocument/2006/relationships/hyperlink" Target="https://karir.pelni.co.id/applicant/data-diri?tab=upload_dokumen" TargetMode="External"/><Relationship Id="rId127" Type="http://schemas.openxmlformats.org/officeDocument/2006/relationships/hyperlink" Target="mailto:tengkuarya00@gmail.com" TargetMode="External"/><Relationship Id="rId248" Type="http://schemas.openxmlformats.org/officeDocument/2006/relationships/hyperlink" Target="mailto:nantzzsec@gmail.com" TargetMode="External"/><Relationship Id="rId369" Type="http://schemas.openxmlformats.org/officeDocument/2006/relationships/hyperlink" Target="mailto:nantzzsec@gmail.com" TargetMode="External"/><Relationship Id="rId126" Type="http://schemas.openxmlformats.org/officeDocument/2006/relationships/hyperlink" Target="http://ppid.pelni.co.id/wp-content/plugins/elementor/" TargetMode="External"/><Relationship Id="rId247" Type="http://schemas.openxmlformats.org/officeDocument/2006/relationships/hyperlink" Target="https://karir.pelni.co.id/applicant/data-diri?tab=data" TargetMode="External"/><Relationship Id="rId368" Type="http://schemas.openxmlformats.org/officeDocument/2006/relationships/hyperlink" Target="https://devel.pelni.co.id/hrm/organisasi" TargetMode="External"/><Relationship Id="rId489" Type="http://schemas.openxmlformats.org/officeDocument/2006/relationships/hyperlink" Target="https://devel.pelni.co.id/emutasi/pengaturan/kategori/laut" TargetMode="External"/><Relationship Id="rId121" Type="http://schemas.openxmlformats.org/officeDocument/2006/relationships/hyperlink" Target="mailto:tengkuarya00@gmail.com" TargetMode="External"/><Relationship Id="rId242" Type="http://schemas.openxmlformats.org/officeDocument/2006/relationships/hyperlink" Target="mailto:nantzzsec@gmail.com" TargetMode="External"/><Relationship Id="rId363" Type="http://schemas.openxmlformats.org/officeDocument/2006/relationships/hyperlink" Target="https://devel.pelni.co.id/hrm/manajemen_sk_organisasi" TargetMode="External"/><Relationship Id="rId484" Type="http://schemas.openxmlformats.org/officeDocument/2006/relationships/hyperlink" Target="mailto:tengkuarya00@gmail.com" TargetMode="External"/><Relationship Id="rId120" Type="http://schemas.openxmlformats.org/officeDocument/2006/relationships/hyperlink" Target="http://ppid.pelni.co.id/wp-content/plugins/elementor/" TargetMode="External"/><Relationship Id="rId241" Type="http://schemas.openxmlformats.org/officeDocument/2006/relationships/hyperlink" Target="https://boarding-pass.pelni.co.id/.git/index" TargetMode="External"/><Relationship Id="rId362" Type="http://schemas.openxmlformats.org/officeDocument/2006/relationships/hyperlink" Target="mailto:nantzzsec@gmail.com" TargetMode="External"/><Relationship Id="rId483" Type="http://schemas.openxmlformats.org/officeDocument/2006/relationships/hyperlink" Target="https://devel.pelni.co.id/emutasi/pengaturan/kategori/laut" TargetMode="External"/><Relationship Id="rId240" Type="http://schemas.openxmlformats.org/officeDocument/2006/relationships/hyperlink" Target="mailto:nantzzsec@gmail.com" TargetMode="External"/><Relationship Id="rId361" Type="http://schemas.openxmlformats.org/officeDocument/2006/relationships/hyperlink" Target="https://devel.pelni.co.id/ess/mutasi/add_mutasi" TargetMode="External"/><Relationship Id="rId482" Type="http://schemas.openxmlformats.org/officeDocument/2006/relationships/hyperlink" Target="mailto:tengkuarya00@gmail.com" TargetMode="External"/><Relationship Id="rId360" Type="http://schemas.openxmlformats.org/officeDocument/2006/relationships/hyperlink" Target="mailto:nantzzsec@gmail.com" TargetMode="External"/><Relationship Id="rId481" Type="http://schemas.openxmlformats.org/officeDocument/2006/relationships/hyperlink" Target="https://devel.pelni.co.id/emutasi/pengaturan/kategori/laut" TargetMode="External"/><Relationship Id="rId125" Type="http://schemas.openxmlformats.org/officeDocument/2006/relationships/hyperlink" Target="https://drive.google.com/file/d/1t7Nqw8_IbY7YUUfJ9cI1czMZYse9RxA_/view?usp=drive_link" TargetMode="External"/><Relationship Id="rId246" Type="http://schemas.openxmlformats.org/officeDocument/2006/relationships/hyperlink" Target="mailto:nantzzsec@gmail.com" TargetMode="External"/><Relationship Id="rId367" Type="http://schemas.openxmlformats.org/officeDocument/2006/relationships/hyperlink" Target="mailto:nantzzsec@gmail.com" TargetMode="External"/><Relationship Id="rId488" Type="http://schemas.openxmlformats.org/officeDocument/2006/relationships/hyperlink" Target="mailto:tengkuarya00@gmail.com" TargetMode="External"/><Relationship Id="rId124" Type="http://schemas.openxmlformats.org/officeDocument/2006/relationships/hyperlink" Target="mailto:tengkuarya00@gmail.com" TargetMode="External"/><Relationship Id="rId245" Type="http://schemas.openxmlformats.org/officeDocument/2006/relationships/hyperlink" Target="https://uat-interface.pelni.co.id/.git/index" TargetMode="External"/><Relationship Id="rId366" Type="http://schemas.openxmlformats.org/officeDocument/2006/relationships/hyperlink" Target="https://devel.pelni.co.id/hrm/manajemen_sk_organisasi" TargetMode="External"/><Relationship Id="rId487" Type="http://schemas.openxmlformats.org/officeDocument/2006/relationships/hyperlink" Target="https://devel.pelni.co.id/emutasi/pengaturan/kategori/laut" TargetMode="External"/><Relationship Id="rId123" Type="http://schemas.openxmlformats.org/officeDocument/2006/relationships/hyperlink" Target="http://ppid.pelni.co.id/wp-content/plugins/elementor/" TargetMode="External"/><Relationship Id="rId244" Type="http://schemas.openxmlformats.org/officeDocument/2006/relationships/hyperlink" Target="mailto:nantzzsec@gmail.com" TargetMode="External"/><Relationship Id="rId365" Type="http://schemas.openxmlformats.org/officeDocument/2006/relationships/hyperlink" Target="mailto:nantzzsec@gmail.com" TargetMode="External"/><Relationship Id="rId486" Type="http://schemas.openxmlformats.org/officeDocument/2006/relationships/hyperlink" Target="mailto:tengkuarya00@gmail.com" TargetMode="External"/><Relationship Id="rId122" Type="http://schemas.openxmlformats.org/officeDocument/2006/relationships/hyperlink" Target="https://drive.google.com/file/d/1t7Nqw8_IbY7YUUfJ9cI1czMZYse9RxA_/view?usp=drive_link" TargetMode="External"/><Relationship Id="rId243" Type="http://schemas.openxmlformats.org/officeDocument/2006/relationships/hyperlink" Target="https://uat-interface.pelni.co.id/.git/config" TargetMode="External"/><Relationship Id="rId364" Type="http://schemas.openxmlformats.org/officeDocument/2006/relationships/hyperlink" Target="mailto:nantzzsec@gmail.com" TargetMode="External"/><Relationship Id="rId485" Type="http://schemas.openxmlformats.org/officeDocument/2006/relationships/hyperlink" Target="https://devel.pelni.co.id/emutasi/pengaturan/kategori/laut" TargetMode="External"/><Relationship Id="rId95" Type="http://schemas.openxmlformats.org/officeDocument/2006/relationships/hyperlink" Target="https://drive.google.com/file/d/1t7Nqw8_IbY7YUUfJ9cI1czMZYse9RxA_/view?usp=drive_link" TargetMode="External"/><Relationship Id="rId94" Type="http://schemas.openxmlformats.org/officeDocument/2006/relationships/hyperlink" Target="mailto:tengkuarya00@gmail.com" TargetMode="External"/><Relationship Id="rId97" Type="http://schemas.openxmlformats.org/officeDocument/2006/relationships/hyperlink" Target="mailto:nantzzsec@gmail.com" TargetMode="External"/><Relationship Id="rId96" Type="http://schemas.openxmlformats.org/officeDocument/2006/relationships/hyperlink" Target="https://eproc-extranet-dev.pelni.co.id/" TargetMode="External"/><Relationship Id="rId99" Type="http://schemas.openxmlformats.org/officeDocument/2006/relationships/hyperlink" Target="https://cis.pelni.co.id/login/authLogin" TargetMode="External"/><Relationship Id="rId480" Type="http://schemas.openxmlformats.org/officeDocument/2006/relationships/hyperlink" Target="mailto:tengkuarya00@gmail.com" TargetMode="External"/><Relationship Id="rId98" Type="http://schemas.openxmlformats.org/officeDocument/2006/relationships/hyperlink" Target="https://drive.google.com/file/d/15uWflTwEAwvYNy0uyuHOqnqKqL3oB4c1/view?usp=sharing" TargetMode="External"/><Relationship Id="rId91" Type="http://schemas.openxmlformats.org/officeDocument/2006/relationships/hyperlink" Target="mailto:nantzzsec@gmail.com" TargetMode="External"/><Relationship Id="rId90" Type="http://schemas.openxmlformats.org/officeDocument/2006/relationships/hyperlink" Target="https://pelni.co.id/jadwal-perintis-cargo" TargetMode="External"/><Relationship Id="rId93" Type="http://schemas.openxmlformats.org/officeDocument/2006/relationships/hyperlink" Target="https://pms-kapaldev.pelni.co.id/login" TargetMode="External"/><Relationship Id="rId92" Type="http://schemas.openxmlformats.org/officeDocument/2006/relationships/hyperlink" Target="https://drive.google.com/file/d/15uWflTwEAwvYNy0uyuHOqnqKqL3oB4c1/view?usp=sharing" TargetMode="External"/><Relationship Id="rId118" Type="http://schemas.openxmlformats.org/officeDocument/2006/relationships/hyperlink" Target="mailto:tengkuarya00@gmail.com" TargetMode="External"/><Relationship Id="rId239" Type="http://schemas.openxmlformats.org/officeDocument/2006/relationships/hyperlink" Target="https://boarding-pass.pelni.co.id/.git/index" TargetMode="External"/><Relationship Id="rId117" Type="http://schemas.openxmlformats.org/officeDocument/2006/relationships/hyperlink" Target="http://ppid.pelni.co.id/wp-content/plugins/elementor/" TargetMode="External"/><Relationship Id="rId238" Type="http://schemas.openxmlformats.org/officeDocument/2006/relationships/hyperlink" Target="mailto:nantzzsec@gmail.com" TargetMode="External"/><Relationship Id="rId359" Type="http://schemas.openxmlformats.org/officeDocument/2006/relationships/hyperlink" Target="https://devel.pelni.co.id/ess/mutasi/add_mutasi" TargetMode="External"/><Relationship Id="rId116" Type="http://schemas.openxmlformats.org/officeDocument/2006/relationships/hyperlink" Target="https://drive.google.com/file/d/1t7Nqw8_IbY7YUUfJ9cI1czMZYse9RxA_/view?usp=drive_link" TargetMode="External"/><Relationship Id="rId237" Type="http://schemas.openxmlformats.org/officeDocument/2006/relationships/hyperlink" Target="https://mx.pelni.co.id/" TargetMode="External"/><Relationship Id="rId358" Type="http://schemas.openxmlformats.org/officeDocument/2006/relationships/hyperlink" Target="mailto:nantzzsec@gmail.com" TargetMode="External"/><Relationship Id="rId479" Type="http://schemas.openxmlformats.org/officeDocument/2006/relationships/hyperlink" Target="https://devel.pelni.co.id/emutasi/pengaturan/jenis/darat" TargetMode="External"/><Relationship Id="rId115" Type="http://schemas.openxmlformats.org/officeDocument/2006/relationships/hyperlink" Target="mailto:tengkuarya00@gmail.com" TargetMode="External"/><Relationship Id="rId236" Type="http://schemas.openxmlformats.org/officeDocument/2006/relationships/hyperlink" Target="mailto:nantzzsec@gmail.com" TargetMode="External"/><Relationship Id="rId357" Type="http://schemas.openxmlformats.org/officeDocument/2006/relationships/hyperlink" Target="https://devel.pelni.co.id/tts/itsupport" TargetMode="External"/><Relationship Id="rId478" Type="http://schemas.openxmlformats.org/officeDocument/2006/relationships/hyperlink" Target="mailto:tengkuarya00@gmail.com" TargetMode="External"/><Relationship Id="rId599" Type="http://schemas.openxmlformats.org/officeDocument/2006/relationships/hyperlink" Target="https://devel.pelni.co.id/ess/inquiry_penunjang" TargetMode="External"/><Relationship Id="rId119" Type="http://schemas.openxmlformats.org/officeDocument/2006/relationships/hyperlink" Target="https://drive.google.com/file/d/1t7Nqw8_IbY7YUUfJ9cI1czMZYse9RxA_/view?usp=drive_link" TargetMode="External"/><Relationship Id="rId110" Type="http://schemas.openxmlformats.org/officeDocument/2006/relationships/hyperlink" Target="https://drive.google.com/file/d/15uWflTwEAwvYNy0uyuHOqnqKqL3oB4c1/view?usp=sharing" TargetMode="External"/><Relationship Id="rId231" Type="http://schemas.openxmlformats.org/officeDocument/2006/relationships/hyperlink" Target="https://karir.pelni.co.id/api/notif/134377" TargetMode="External"/><Relationship Id="rId352" Type="http://schemas.openxmlformats.org/officeDocument/2006/relationships/hyperlink" Target="mailto:nantzzsec@gmail.com" TargetMode="External"/><Relationship Id="rId473" Type="http://schemas.openxmlformats.org/officeDocument/2006/relationships/hyperlink" Target="https://devel.pelni.co.id/emutasi/pengaturan/jenis/darat" TargetMode="External"/><Relationship Id="rId594" Type="http://schemas.openxmlformats.org/officeDocument/2006/relationships/hyperlink" Target="mailto:tengkuarya00@gmail.com" TargetMode="External"/><Relationship Id="rId230" Type="http://schemas.openxmlformats.org/officeDocument/2006/relationships/hyperlink" Target="mailto:nantzzsec@gmail.com" TargetMode="External"/><Relationship Id="rId351" Type="http://schemas.openxmlformats.org/officeDocument/2006/relationships/hyperlink" Target="https://devel.pelni.co.id/ess/pms_pc?=&amp;limit=5" TargetMode="External"/><Relationship Id="rId472" Type="http://schemas.openxmlformats.org/officeDocument/2006/relationships/hyperlink" Target="mailto:tengkuarya00@gmail.com" TargetMode="External"/><Relationship Id="rId593" Type="http://schemas.openxmlformats.org/officeDocument/2006/relationships/hyperlink" Target="https://devel.pelni.co.id/ess/inquiry_penunjang" TargetMode="External"/><Relationship Id="rId350" Type="http://schemas.openxmlformats.org/officeDocument/2006/relationships/hyperlink" Target="mailto:nantzzsec@gmail.com" TargetMode="External"/><Relationship Id="rId471" Type="http://schemas.openxmlformats.org/officeDocument/2006/relationships/hyperlink" Target="https://devel.pelni.co.id/emutasi/pengaturan/jenis/darat" TargetMode="External"/><Relationship Id="rId592" Type="http://schemas.openxmlformats.org/officeDocument/2006/relationships/hyperlink" Target="mailto:tengkuarya00@gmail.com" TargetMode="External"/><Relationship Id="rId470" Type="http://schemas.openxmlformats.org/officeDocument/2006/relationships/hyperlink" Target="mailto:tengkuarya00@gmail.com" TargetMode="External"/><Relationship Id="rId591" Type="http://schemas.openxmlformats.org/officeDocument/2006/relationships/hyperlink" Target="https://devel.pelni.co.id/emutasi/dashboard/laut" TargetMode="External"/><Relationship Id="rId114" Type="http://schemas.openxmlformats.org/officeDocument/2006/relationships/hyperlink" Target="http://ppid.pelni.co.id/wp-content/plugins/elementor/" TargetMode="External"/><Relationship Id="rId235" Type="http://schemas.openxmlformats.org/officeDocument/2006/relationships/hyperlink" Target="https://agencies.pelni.co.id/.login" TargetMode="External"/><Relationship Id="rId356" Type="http://schemas.openxmlformats.org/officeDocument/2006/relationships/hyperlink" Target="mailto:nantzzsec@gmail.com" TargetMode="External"/><Relationship Id="rId477" Type="http://schemas.openxmlformats.org/officeDocument/2006/relationships/hyperlink" Target="https://devel.pelni.co.id/emutasi/pengaturan/jenis/darat" TargetMode="External"/><Relationship Id="rId598" Type="http://schemas.openxmlformats.org/officeDocument/2006/relationships/hyperlink" Target="mailto:tengkuarya00@gmail.com" TargetMode="External"/><Relationship Id="rId113" Type="http://schemas.openxmlformats.org/officeDocument/2006/relationships/hyperlink" Target="https://drive.google.com/file/d/1t7Nqw8_IbY7YUUfJ9cI1czMZYse9RxA_/view?usp=drive_link" TargetMode="External"/><Relationship Id="rId234" Type="http://schemas.openxmlformats.org/officeDocument/2006/relationships/hyperlink" Target="mailto:nantzzsec@gmail.com" TargetMode="External"/><Relationship Id="rId355" Type="http://schemas.openxmlformats.org/officeDocument/2006/relationships/hyperlink" Target="https://devel.pelni.co.id/tts/itsupport" TargetMode="External"/><Relationship Id="rId476" Type="http://schemas.openxmlformats.org/officeDocument/2006/relationships/hyperlink" Target="mailto:tengkuarya00@gmail.com" TargetMode="External"/><Relationship Id="rId597" Type="http://schemas.openxmlformats.org/officeDocument/2006/relationships/hyperlink" Target="https://devel.pelni.co.id/ess/inquiry_penunjang" TargetMode="External"/><Relationship Id="rId112" Type="http://schemas.openxmlformats.org/officeDocument/2006/relationships/hyperlink" Target="mailto:tengkuarya00@gmail.com" TargetMode="External"/><Relationship Id="rId233" Type="http://schemas.openxmlformats.org/officeDocument/2006/relationships/hyperlink" Target="https://karir.pelni.co.id/" TargetMode="External"/><Relationship Id="rId354" Type="http://schemas.openxmlformats.org/officeDocument/2006/relationships/hyperlink" Target="mailto:nantzzsec@gmail.com" TargetMode="External"/><Relationship Id="rId475" Type="http://schemas.openxmlformats.org/officeDocument/2006/relationships/hyperlink" Target="https://devel.pelni.co.id/emutasi/pengaturan/jenis/darat" TargetMode="External"/><Relationship Id="rId596" Type="http://schemas.openxmlformats.org/officeDocument/2006/relationships/hyperlink" Target="mailto:tengkuarya00@gmail.com" TargetMode="External"/><Relationship Id="rId111" Type="http://schemas.openxmlformats.org/officeDocument/2006/relationships/hyperlink" Target="http://ppid.pelni.co.id/wp-content/plugins/elementor/" TargetMode="External"/><Relationship Id="rId232" Type="http://schemas.openxmlformats.org/officeDocument/2006/relationships/hyperlink" Target="mailto:nantzzsec@gmail.com" TargetMode="External"/><Relationship Id="rId353" Type="http://schemas.openxmlformats.org/officeDocument/2006/relationships/hyperlink" Target="https://devel.pelni.co.id/tts/itsupport" TargetMode="External"/><Relationship Id="rId474" Type="http://schemas.openxmlformats.org/officeDocument/2006/relationships/hyperlink" Target="mailto:tengkuarya00@gmail.com" TargetMode="External"/><Relationship Id="rId595" Type="http://schemas.openxmlformats.org/officeDocument/2006/relationships/hyperlink" Target="https://devel.pelni.co.id/ess/inquiry_penunjang" TargetMode="External"/><Relationship Id="rId305" Type="http://schemas.openxmlformats.org/officeDocument/2006/relationships/hyperlink" Target="https://devel.pelni.co.id/master/Pendidikan/get_cmb_provinsi/_ktp" TargetMode="External"/><Relationship Id="rId426" Type="http://schemas.openxmlformats.org/officeDocument/2006/relationships/hyperlink" Target="mailto:nantzzsec@gmail.com" TargetMode="External"/><Relationship Id="rId547" Type="http://schemas.openxmlformats.org/officeDocument/2006/relationships/hyperlink" Target="https://devel.pelni.co.id/ess/inquiry_penunjang" TargetMode="External"/><Relationship Id="rId304" Type="http://schemas.openxmlformats.org/officeDocument/2006/relationships/hyperlink" Target="mailto:nantzzsec@gmail.com" TargetMode="External"/><Relationship Id="rId425" Type="http://schemas.openxmlformats.org/officeDocument/2006/relationships/hyperlink" Target="https://devel.pelni.co.id/ess/kesejahteraan/bpjstk" TargetMode="External"/><Relationship Id="rId546" Type="http://schemas.openxmlformats.org/officeDocument/2006/relationships/hyperlink" Target="mailto:tengkuarya00@gmail.com" TargetMode="External"/><Relationship Id="rId303" Type="http://schemas.openxmlformats.org/officeDocument/2006/relationships/hyperlink" Target="https://devel.pelni.co.id/master/Pendidikan/get_cmb_provinsi/_ktp" TargetMode="External"/><Relationship Id="rId424" Type="http://schemas.openxmlformats.org/officeDocument/2006/relationships/hyperlink" Target="mailto:nantzzsec@gmail.com" TargetMode="External"/><Relationship Id="rId545" Type="http://schemas.openxmlformats.org/officeDocument/2006/relationships/hyperlink" Target="https://devel.pelni.co.id/ess/inquiry_penunjang" TargetMode="External"/><Relationship Id="rId302" Type="http://schemas.openxmlformats.org/officeDocument/2006/relationships/hyperlink" Target="mailto:nantzzsec@gmail.com" TargetMode="External"/><Relationship Id="rId423" Type="http://schemas.openxmlformats.org/officeDocument/2006/relationships/hyperlink" Target="https://devel.pelni.co.id/ess/kesejahteraan/bpjs" TargetMode="External"/><Relationship Id="rId544" Type="http://schemas.openxmlformats.org/officeDocument/2006/relationships/hyperlink" Target="mailto:tengkuarya00@gmail.com" TargetMode="External"/><Relationship Id="rId309" Type="http://schemas.openxmlformats.org/officeDocument/2006/relationships/hyperlink" Target="https://devel.pelni.co.id/master/Pendidikan/get_cmb_provinsi/_ktp" TargetMode="External"/><Relationship Id="rId308" Type="http://schemas.openxmlformats.org/officeDocument/2006/relationships/hyperlink" Target="mailto:nantzzsec@gmail.com" TargetMode="External"/><Relationship Id="rId429" Type="http://schemas.openxmlformats.org/officeDocument/2006/relationships/hyperlink" Target="https://devel.pelni.co.id/ess/kesejahteraan/npwp" TargetMode="External"/><Relationship Id="rId307" Type="http://schemas.openxmlformats.org/officeDocument/2006/relationships/hyperlink" Target="https://devel.pelni.co.id/master/Pendidikan/get_cmb_provinsi/_ktp" TargetMode="External"/><Relationship Id="rId428" Type="http://schemas.openxmlformats.org/officeDocument/2006/relationships/hyperlink" Target="mailto:nantzzsec@gmail.com" TargetMode="External"/><Relationship Id="rId549" Type="http://schemas.openxmlformats.org/officeDocument/2006/relationships/hyperlink" Target="https://devel.pelni.co.id/ess/inquiry_penunjang" TargetMode="External"/><Relationship Id="rId306" Type="http://schemas.openxmlformats.org/officeDocument/2006/relationships/hyperlink" Target="mailto:nantzzsec@gmail.com" TargetMode="External"/><Relationship Id="rId427" Type="http://schemas.openxmlformats.org/officeDocument/2006/relationships/hyperlink" Target="https://devel.pelni.co.id/ess/kesejahteraan/bpjstk" TargetMode="External"/><Relationship Id="rId548" Type="http://schemas.openxmlformats.org/officeDocument/2006/relationships/hyperlink" Target="mailto:tengkuarya00@gmail.com" TargetMode="External"/><Relationship Id="rId301" Type="http://schemas.openxmlformats.org/officeDocument/2006/relationships/hyperlink" Target="https://devel.pelni.co.id/master/Pendidikan/get_cmb_provinsi/_ktp" TargetMode="External"/><Relationship Id="rId422" Type="http://schemas.openxmlformats.org/officeDocument/2006/relationships/hyperlink" Target="mailto:nantzzsec@gmail.com" TargetMode="External"/><Relationship Id="rId543" Type="http://schemas.openxmlformats.org/officeDocument/2006/relationships/hyperlink" Target="https://devel.pelni.co.id/ess/inquiry_penunjang" TargetMode="External"/><Relationship Id="rId300" Type="http://schemas.openxmlformats.org/officeDocument/2006/relationships/hyperlink" Target="mailto:nantzzsec@gmail.com" TargetMode="External"/><Relationship Id="rId421" Type="http://schemas.openxmlformats.org/officeDocument/2006/relationships/hyperlink" Target="https://devel.pelni.co.id/ess/kesejahteraan/bpjs" TargetMode="External"/><Relationship Id="rId542" Type="http://schemas.openxmlformats.org/officeDocument/2006/relationships/hyperlink" Target="mailto:tengkuarya00@gmail.com" TargetMode="External"/><Relationship Id="rId420" Type="http://schemas.openxmlformats.org/officeDocument/2006/relationships/hyperlink" Target="mailto:nantzzsec@gmail.com" TargetMode="External"/><Relationship Id="rId541" Type="http://schemas.openxmlformats.org/officeDocument/2006/relationships/hyperlink" Target="https://devel.pelni.co.id/ess/inquiry_penunjang" TargetMode="External"/><Relationship Id="rId540" Type="http://schemas.openxmlformats.org/officeDocument/2006/relationships/hyperlink" Target="mailto:tengkuarya00@gmail.com" TargetMode="External"/><Relationship Id="rId415" Type="http://schemas.openxmlformats.org/officeDocument/2006/relationships/hyperlink" Target="https://devel.pelni.co.id/hrm/riwayatkesehatan/mcu" TargetMode="External"/><Relationship Id="rId536" Type="http://schemas.openxmlformats.org/officeDocument/2006/relationships/hyperlink" Target="mailto:tengkuarya00@gmail.com" TargetMode="External"/><Relationship Id="rId414" Type="http://schemas.openxmlformats.org/officeDocument/2006/relationships/hyperlink" Target="mailto:nantzzsec@gmail.com" TargetMode="External"/><Relationship Id="rId535" Type="http://schemas.openxmlformats.org/officeDocument/2006/relationships/hyperlink" Target="https://devel.pelni.co.id/emutasi/proses/daftar/laut" TargetMode="External"/><Relationship Id="rId413" Type="http://schemas.openxmlformats.org/officeDocument/2006/relationships/hyperlink" Target="https://devel.pelni.co.id/hrm/riwayatkesehatan/mcu" TargetMode="External"/><Relationship Id="rId534" Type="http://schemas.openxmlformats.org/officeDocument/2006/relationships/hyperlink" Target="mailto:tengkuarya00@gmail.com" TargetMode="External"/><Relationship Id="rId412" Type="http://schemas.openxmlformats.org/officeDocument/2006/relationships/hyperlink" Target="mailto:nantzzsec@gmail.com" TargetMode="External"/><Relationship Id="rId533" Type="http://schemas.openxmlformats.org/officeDocument/2006/relationships/hyperlink" Target="https://devel.pelni.co.id/emutasi/proses/daftar/laut" TargetMode="External"/><Relationship Id="rId419" Type="http://schemas.openxmlformats.org/officeDocument/2006/relationships/hyperlink" Target="https://devel.pelni.co.id/ess/kesejahteraan/ktp" TargetMode="External"/><Relationship Id="rId418" Type="http://schemas.openxmlformats.org/officeDocument/2006/relationships/hyperlink" Target="mailto:nantzzsec@gmail.com" TargetMode="External"/><Relationship Id="rId539" Type="http://schemas.openxmlformats.org/officeDocument/2006/relationships/hyperlink" Target="https://devel.pelni.co.id/hrm/tambahpegawai_penunjang" TargetMode="External"/><Relationship Id="rId417" Type="http://schemas.openxmlformats.org/officeDocument/2006/relationships/hyperlink" Target="https://devel.pelni.co.id/ess/kesejahteraan/ktp" TargetMode="External"/><Relationship Id="rId538" Type="http://schemas.openxmlformats.org/officeDocument/2006/relationships/hyperlink" Target="mailto:tengkuarya00@gmail.com" TargetMode="External"/><Relationship Id="rId416" Type="http://schemas.openxmlformats.org/officeDocument/2006/relationships/hyperlink" Target="mailto:nantzzsec@gmail.com" TargetMode="External"/><Relationship Id="rId537" Type="http://schemas.openxmlformats.org/officeDocument/2006/relationships/hyperlink" Target="https://devel.pelni.co.id/emutasi/proses/daftar/laut" TargetMode="External"/><Relationship Id="rId411" Type="http://schemas.openxmlformats.org/officeDocument/2006/relationships/hyperlink" Target="https://devel.pelni.co.id/hrm/riwayatkesehatan" TargetMode="External"/><Relationship Id="rId532" Type="http://schemas.openxmlformats.org/officeDocument/2006/relationships/hyperlink" Target="mailto:tengkuarya00@gmail.com" TargetMode="External"/><Relationship Id="rId410" Type="http://schemas.openxmlformats.org/officeDocument/2006/relationships/hyperlink" Target="mailto:nantzzsec@gmail.com" TargetMode="External"/><Relationship Id="rId531" Type="http://schemas.openxmlformats.org/officeDocument/2006/relationships/hyperlink" Target="https://devel.pelni.co.id/projects" TargetMode="External"/><Relationship Id="rId530" Type="http://schemas.openxmlformats.org/officeDocument/2006/relationships/hyperlink" Target="mailto:tengkuarya00@gmail.com" TargetMode="External"/><Relationship Id="rId206" Type="http://schemas.openxmlformats.org/officeDocument/2006/relationships/hyperlink" Target="https://drive.google.com/file/d/15uWflTwEAwvYNy0uyuHOqnqKqL3oB4c1/view?usp=sharing" TargetMode="External"/><Relationship Id="rId327" Type="http://schemas.openxmlformats.org/officeDocument/2006/relationships/hyperlink" Target="https://devel.pelni.co.id/Health_report/covid_assessment_new" TargetMode="External"/><Relationship Id="rId448" Type="http://schemas.openxmlformats.org/officeDocument/2006/relationships/hyperlink" Target="mailto:tengkuarya00@gmail.com" TargetMode="External"/><Relationship Id="rId569" Type="http://schemas.openxmlformats.org/officeDocument/2006/relationships/hyperlink" Target="https://devel.pelni.co.id/ess/inqabsensi" TargetMode="External"/><Relationship Id="rId205" Type="http://schemas.openxmlformats.org/officeDocument/2006/relationships/hyperlink" Target="mailto:nantzzsec@gmail.com" TargetMode="External"/><Relationship Id="rId326" Type="http://schemas.openxmlformats.org/officeDocument/2006/relationships/hyperlink" Target="mailto:nantzzsec@gmail.com" TargetMode="External"/><Relationship Id="rId447" Type="http://schemas.openxmlformats.org/officeDocument/2006/relationships/hyperlink" Target="https://devel.pelni.co.id/ess/mutasi_otomatis" TargetMode="External"/><Relationship Id="rId568" Type="http://schemas.openxmlformats.org/officeDocument/2006/relationships/hyperlink" Target="mailto:tengkuarya00@gmail.com" TargetMode="External"/><Relationship Id="rId204" Type="http://schemas.openxmlformats.org/officeDocument/2006/relationships/hyperlink" Target="http://ppid.pelni.co.id/wp-content/plugins/elementor/" TargetMode="External"/><Relationship Id="rId325" Type="http://schemas.openxmlformats.org/officeDocument/2006/relationships/hyperlink" Target="https://devel.pelni.co.id/Health_report/covid_assessment_new" TargetMode="External"/><Relationship Id="rId446" Type="http://schemas.openxmlformats.org/officeDocument/2006/relationships/hyperlink" Target="mailto:tengkuarya00@gmail.com" TargetMode="External"/><Relationship Id="rId567" Type="http://schemas.openxmlformats.org/officeDocument/2006/relationships/hyperlink" Target="https://devel.pelni.co.id/ess/inqabsensi" TargetMode="External"/><Relationship Id="rId203" Type="http://schemas.openxmlformats.org/officeDocument/2006/relationships/hyperlink" Target="https://drive.google.com/file/d/15uWflTwEAwvYNy0uyuHOqnqKqL3oB4c1/view?usp=sharing" TargetMode="External"/><Relationship Id="rId324" Type="http://schemas.openxmlformats.org/officeDocument/2006/relationships/hyperlink" Target="mailto:nantzzsec@gmail.com" TargetMode="External"/><Relationship Id="rId445" Type="http://schemas.openxmlformats.org/officeDocument/2006/relationships/hyperlink" Target="https://devel.pelni.co.id/ess/mutasi_sementara" TargetMode="External"/><Relationship Id="rId566" Type="http://schemas.openxmlformats.org/officeDocument/2006/relationships/hyperlink" Target="mailto:tengkuarya00@gmail.com" TargetMode="External"/><Relationship Id="rId209" Type="http://schemas.openxmlformats.org/officeDocument/2006/relationships/hyperlink" Target="https://drive.google.com/file/d/15uWflTwEAwvYNy0uyuHOqnqKqL3oB4c1/view?usp=sharing" TargetMode="External"/><Relationship Id="rId208" Type="http://schemas.openxmlformats.org/officeDocument/2006/relationships/hyperlink" Target="mailto:nantzzsec@gmail.com" TargetMode="External"/><Relationship Id="rId329" Type="http://schemas.openxmlformats.org/officeDocument/2006/relationships/hyperlink" Target="https://devel.pelni.co.id/master/Pendidikan/get_cmb_provinsi/_ktp" TargetMode="External"/><Relationship Id="rId207" Type="http://schemas.openxmlformats.org/officeDocument/2006/relationships/hyperlink" Target="http://ppid.pelni.co.id/wp-content/plugins/elementor/" TargetMode="External"/><Relationship Id="rId328" Type="http://schemas.openxmlformats.org/officeDocument/2006/relationships/hyperlink" Target="mailto:nantzzsec@gmail.com" TargetMode="External"/><Relationship Id="rId449" Type="http://schemas.openxmlformats.org/officeDocument/2006/relationships/hyperlink" Target="https://devel.pelni.co.id/ess/mutasi/list_approval" TargetMode="External"/><Relationship Id="rId440" Type="http://schemas.openxmlformats.org/officeDocument/2006/relationships/hyperlink" Target="mailto:tengkuarya00@gmail.com" TargetMode="External"/><Relationship Id="rId561" Type="http://schemas.openxmlformats.org/officeDocument/2006/relationships/hyperlink" Target="https://devel.pelni.co.id/ess/inqabsensi" TargetMode="External"/><Relationship Id="rId560" Type="http://schemas.openxmlformats.org/officeDocument/2006/relationships/hyperlink" Target="mailto:tengkuarya00@gmail.com" TargetMode="External"/><Relationship Id="rId202" Type="http://schemas.openxmlformats.org/officeDocument/2006/relationships/hyperlink" Target="mailto:nantzzsec@gmail.com" TargetMode="External"/><Relationship Id="rId323" Type="http://schemas.openxmlformats.org/officeDocument/2006/relationships/hyperlink" Target="https://devel.pelni.co.id/Health_report/covid_assessment_new" TargetMode="External"/><Relationship Id="rId444" Type="http://schemas.openxmlformats.org/officeDocument/2006/relationships/hyperlink" Target="mailto:tengkuarya00@gmail.com" TargetMode="External"/><Relationship Id="rId565" Type="http://schemas.openxmlformats.org/officeDocument/2006/relationships/hyperlink" Target="https://devel.pelni.co.id/ess/inqabsensi" TargetMode="External"/><Relationship Id="rId201" Type="http://schemas.openxmlformats.org/officeDocument/2006/relationships/hyperlink" Target="http://ppid.pelni.co.id/wp-content/plugins/elementor/" TargetMode="External"/><Relationship Id="rId322" Type="http://schemas.openxmlformats.org/officeDocument/2006/relationships/hyperlink" Target="mailto:nantzzsec@gmail.com" TargetMode="External"/><Relationship Id="rId443" Type="http://schemas.openxmlformats.org/officeDocument/2006/relationships/hyperlink" Target="https://devel.pelni.co.id/ess/mutasi" TargetMode="External"/><Relationship Id="rId564" Type="http://schemas.openxmlformats.org/officeDocument/2006/relationships/hyperlink" Target="mailto:tengkuarya00@gmail.com" TargetMode="External"/><Relationship Id="rId200" Type="http://schemas.openxmlformats.org/officeDocument/2006/relationships/hyperlink" Target="https://drive.google.com/file/d/15uWflTwEAwvYNy0uyuHOqnqKqL3oB4c1/view?usp=sharing" TargetMode="External"/><Relationship Id="rId321" Type="http://schemas.openxmlformats.org/officeDocument/2006/relationships/hyperlink" Target="https://devel.pelni.co.id/welcome/health" TargetMode="External"/><Relationship Id="rId442" Type="http://schemas.openxmlformats.org/officeDocument/2006/relationships/hyperlink" Target="mailto:tengkuarya00@gmail.com" TargetMode="External"/><Relationship Id="rId563" Type="http://schemas.openxmlformats.org/officeDocument/2006/relationships/hyperlink" Target="https://devel.pelni.co.id/ess/inqabsensi" TargetMode="External"/><Relationship Id="rId320" Type="http://schemas.openxmlformats.org/officeDocument/2006/relationships/hyperlink" Target="mailto:nantzzsec@gmail.com" TargetMode="External"/><Relationship Id="rId441" Type="http://schemas.openxmlformats.org/officeDocument/2006/relationships/hyperlink" Target="https://devel.pelni.co.id/ess/mpp/approve" TargetMode="External"/><Relationship Id="rId562" Type="http://schemas.openxmlformats.org/officeDocument/2006/relationships/hyperlink" Target="mailto:tengkuarya00@gmail.com" TargetMode="External"/><Relationship Id="rId316" Type="http://schemas.openxmlformats.org/officeDocument/2006/relationships/hyperlink" Target="mailto:nantzzsec@gmail.com" TargetMode="External"/><Relationship Id="rId437" Type="http://schemas.openxmlformats.org/officeDocument/2006/relationships/hyperlink" Target="https://devel.pelni.co.id/ess/mpp/buat" TargetMode="External"/><Relationship Id="rId558" Type="http://schemas.openxmlformats.org/officeDocument/2006/relationships/hyperlink" Target="mailto:tengkuarya00@gmail.com" TargetMode="External"/><Relationship Id="rId315" Type="http://schemas.openxmlformats.org/officeDocument/2006/relationships/hyperlink" Target="https://devel.pelni.co.id/master/Pendidikan/get_cmb_provinsi/_ktp" TargetMode="External"/><Relationship Id="rId436" Type="http://schemas.openxmlformats.org/officeDocument/2006/relationships/hyperlink" Target="mailto:tengkuarya00@gmail.com" TargetMode="External"/><Relationship Id="rId557" Type="http://schemas.openxmlformats.org/officeDocument/2006/relationships/hyperlink" Target="https://devel.pelni.co.id/ess/kontrak_penunjang" TargetMode="External"/><Relationship Id="rId314" Type="http://schemas.openxmlformats.org/officeDocument/2006/relationships/hyperlink" Target="mailto:nantzzsec@gmail.com" TargetMode="External"/><Relationship Id="rId435" Type="http://schemas.openxmlformats.org/officeDocument/2006/relationships/hyperlink" Target="https://devel.pelni.co.id/ess/kesejahteraan/rekening" TargetMode="External"/><Relationship Id="rId556" Type="http://schemas.openxmlformats.org/officeDocument/2006/relationships/hyperlink" Target="mailto:tengkuarya00@gmail.com" TargetMode="External"/><Relationship Id="rId313" Type="http://schemas.openxmlformats.org/officeDocument/2006/relationships/hyperlink" Target="https://devel.pelni.co.id/master/Pendidikan/get_cmb_provinsi/_ktp" TargetMode="External"/><Relationship Id="rId434" Type="http://schemas.openxmlformats.org/officeDocument/2006/relationships/hyperlink" Target="mailto:tengkuarya00@gmail.com" TargetMode="External"/><Relationship Id="rId555" Type="http://schemas.openxmlformats.org/officeDocument/2006/relationships/hyperlink" Target="https://devel.pelni.co.id/ess/mutasi_penunjang" TargetMode="External"/><Relationship Id="rId319" Type="http://schemas.openxmlformats.org/officeDocument/2006/relationships/hyperlink" Target="https://devel.pelni.co.id/welcome/health" TargetMode="External"/><Relationship Id="rId318" Type="http://schemas.openxmlformats.org/officeDocument/2006/relationships/hyperlink" Target="mailto:nantzzsec@gmail.com" TargetMode="External"/><Relationship Id="rId439" Type="http://schemas.openxmlformats.org/officeDocument/2006/relationships/hyperlink" Target="https://devel.pelni.co.id/ess/mpp/buat" TargetMode="External"/><Relationship Id="rId317" Type="http://schemas.openxmlformats.org/officeDocument/2006/relationships/hyperlink" Target="https://devel.pelni.co.id/welcome/health" TargetMode="External"/><Relationship Id="rId438" Type="http://schemas.openxmlformats.org/officeDocument/2006/relationships/hyperlink" Target="mailto:tengkuarya00@gmail.com" TargetMode="External"/><Relationship Id="rId559" Type="http://schemas.openxmlformats.org/officeDocument/2006/relationships/hyperlink" Target="https://devel.pelni.co.id/ess/kontrak_penunjang" TargetMode="External"/><Relationship Id="rId550" Type="http://schemas.openxmlformats.org/officeDocument/2006/relationships/hyperlink" Target="mailto:tengkuarya00@gmail.com" TargetMode="External"/><Relationship Id="rId312" Type="http://schemas.openxmlformats.org/officeDocument/2006/relationships/hyperlink" Target="mailto:nantzzsec@gmail.com" TargetMode="External"/><Relationship Id="rId433" Type="http://schemas.openxmlformats.org/officeDocument/2006/relationships/hyperlink" Target="https://devel.pelni.co.id/ess/kesejahteraan/rekening" TargetMode="External"/><Relationship Id="rId554" Type="http://schemas.openxmlformats.org/officeDocument/2006/relationships/hyperlink" Target="mailto:tengkuarya00@gmail.com" TargetMode="External"/><Relationship Id="rId311" Type="http://schemas.openxmlformats.org/officeDocument/2006/relationships/hyperlink" Target="https://devel.pelni.co.id/Health_report/input_penunjang" TargetMode="External"/><Relationship Id="rId432" Type="http://schemas.openxmlformats.org/officeDocument/2006/relationships/hyperlink" Target="mailto:tengkuarya00@gmail.com" TargetMode="External"/><Relationship Id="rId553" Type="http://schemas.openxmlformats.org/officeDocument/2006/relationships/hyperlink" Target="https://devel.pelni.co.id/ess/mutasi_penunjang/list_approval" TargetMode="External"/><Relationship Id="rId310" Type="http://schemas.openxmlformats.org/officeDocument/2006/relationships/hyperlink" Target="mailto:nantzzsec@gmail.com" TargetMode="External"/><Relationship Id="rId431" Type="http://schemas.openxmlformats.org/officeDocument/2006/relationships/hyperlink" Target="https://devel.pelni.co.id/ess/kesejahteraan/npwp" TargetMode="External"/><Relationship Id="rId552" Type="http://schemas.openxmlformats.org/officeDocument/2006/relationships/hyperlink" Target="mailto:tengkuarya00@gmail.com" TargetMode="External"/><Relationship Id="rId430" Type="http://schemas.openxmlformats.org/officeDocument/2006/relationships/hyperlink" Target="mailto:nantzzsec@gmail.com" TargetMode="External"/><Relationship Id="rId551" Type="http://schemas.openxmlformats.org/officeDocument/2006/relationships/hyperlink" Target="https://devel.pelni.co.id/ess/kontrak_penunja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7.13"/>
    <col customWidth="1" min="5" max="5" width="22.63"/>
    <col customWidth="1" min="6" max="7" width="19.63"/>
    <col customWidth="1" min="8" max="8" width="28.0"/>
    <col customWidth="1" min="9" max="9" width="15.75"/>
  </cols>
  <sheetData>
    <row r="1">
      <c r="B1" s="1" t="s">
        <v>0</v>
      </c>
    </row>
    <row r="3">
      <c r="B3" s="2"/>
      <c r="C3" s="2"/>
      <c r="D3" s="2"/>
      <c r="E3" s="2"/>
      <c r="F3" s="2"/>
      <c r="G3" s="2"/>
      <c r="H3" s="2"/>
      <c r="I3" s="2"/>
    </row>
    <row r="4">
      <c r="B4" s="3"/>
      <c r="C4" s="3"/>
      <c r="D4" s="3"/>
      <c r="E4" s="3"/>
      <c r="F4" s="3"/>
      <c r="G4" s="3"/>
      <c r="H4" s="3"/>
      <c r="I4" s="3"/>
    </row>
    <row r="5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6" t="s">
        <v>8</v>
      </c>
    </row>
    <row r="6" hidden="1">
      <c r="B6" s="7"/>
      <c r="C6" s="8"/>
      <c r="D6" s="8"/>
      <c r="E6" s="8"/>
      <c r="F6" s="8"/>
      <c r="G6" s="8"/>
      <c r="H6" s="8"/>
      <c r="I6" s="9"/>
    </row>
    <row r="7">
      <c r="B7" s="10">
        <v>1.0</v>
      </c>
      <c r="C7" s="11"/>
      <c r="D7" s="11"/>
      <c r="E7" s="11"/>
      <c r="F7" s="11"/>
      <c r="G7" s="11"/>
      <c r="H7" s="11"/>
      <c r="I7" s="12" t="s">
        <v>9</v>
      </c>
    </row>
    <row r="8">
      <c r="B8" s="13">
        <v>2.0</v>
      </c>
      <c r="C8" s="8"/>
      <c r="D8" s="8"/>
      <c r="E8" s="8"/>
      <c r="F8" s="8"/>
      <c r="G8" s="8"/>
      <c r="H8" s="8"/>
      <c r="I8" s="14" t="s">
        <v>9</v>
      </c>
    </row>
    <row r="9">
      <c r="B9" s="10">
        <v>3.0</v>
      </c>
      <c r="C9" s="11"/>
      <c r="D9" s="11"/>
      <c r="E9" s="11"/>
      <c r="F9" s="11"/>
      <c r="G9" s="11"/>
      <c r="H9" s="11"/>
      <c r="I9" s="12" t="s">
        <v>9</v>
      </c>
    </row>
    <row r="10">
      <c r="B10" s="13">
        <v>4.0</v>
      </c>
      <c r="C10" s="8"/>
      <c r="D10" s="8"/>
      <c r="E10" s="8"/>
      <c r="F10" s="8"/>
      <c r="G10" s="8"/>
      <c r="H10" s="8"/>
      <c r="I10" s="14" t="s">
        <v>9</v>
      </c>
    </row>
    <row r="11">
      <c r="B11" s="10">
        <v>5.0</v>
      </c>
      <c r="C11" s="11"/>
      <c r="D11" s="11"/>
      <c r="E11" s="11"/>
      <c r="F11" s="11"/>
      <c r="G11" s="11"/>
      <c r="H11" s="11"/>
      <c r="I11" s="12" t="s">
        <v>9</v>
      </c>
    </row>
    <row r="12">
      <c r="B12" s="13">
        <v>6.0</v>
      </c>
      <c r="C12" s="8"/>
      <c r="D12" s="8"/>
      <c r="E12" s="8"/>
      <c r="F12" s="8"/>
      <c r="G12" s="8"/>
      <c r="H12" s="8"/>
      <c r="I12" s="14" t="s">
        <v>9</v>
      </c>
    </row>
    <row r="13">
      <c r="B13" s="10">
        <v>7.0</v>
      </c>
      <c r="C13" s="11"/>
      <c r="D13" s="11"/>
      <c r="E13" s="11"/>
      <c r="F13" s="11"/>
      <c r="G13" s="11"/>
      <c r="H13" s="11"/>
      <c r="I13" s="12" t="s">
        <v>9</v>
      </c>
    </row>
    <row r="14">
      <c r="B14" s="13">
        <v>8.0</v>
      </c>
      <c r="C14" s="8"/>
      <c r="D14" s="8"/>
      <c r="E14" s="8"/>
      <c r="F14" s="8"/>
      <c r="G14" s="8"/>
      <c r="H14" s="8"/>
      <c r="I14" s="14" t="s">
        <v>9</v>
      </c>
    </row>
    <row r="15">
      <c r="B15" s="10">
        <v>9.0</v>
      </c>
      <c r="C15" s="11"/>
      <c r="D15" s="11"/>
      <c r="E15" s="11"/>
      <c r="F15" s="11"/>
      <c r="G15" s="11"/>
      <c r="H15" s="11"/>
      <c r="I15" s="12" t="s">
        <v>9</v>
      </c>
    </row>
    <row r="16">
      <c r="B16" s="13">
        <v>10.0</v>
      </c>
      <c r="C16" s="8"/>
      <c r="D16" s="8"/>
      <c r="E16" s="8"/>
      <c r="F16" s="8"/>
      <c r="G16" s="8"/>
      <c r="H16" s="8"/>
      <c r="I16" s="14" t="s">
        <v>9</v>
      </c>
    </row>
    <row r="17">
      <c r="B17" s="10">
        <v>11.0</v>
      </c>
      <c r="C17" s="11"/>
      <c r="D17" s="11"/>
      <c r="E17" s="11"/>
      <c r="F17" s="11"/>
      <c r="G17" s="11"/>
      <c r="H17" s="11"/>
      <c r="I17" s="12" t="s">
        <v>9</v>
      </c>
    </row>
    <row r="18">
      <c r="B18" s="13">
        <v>12.0</v>
      </c>
      <c r="C18" s="8"/>
      <c r="D18" s="8"/>
      <c r="E18" s="8"/>
      <c r="F18" s="8"/>
      <c r="G18" s="8"/>
      <c r="H18" s="8"/>
      <c r="I18" s="14" t="s">
        <v>9</v>
      </c>
    </row>
    <row r="19">
      <c r="B19" s="10">
        <v>13.0</v>
      </c>
      <c r="C19" s="11"/>
      <c r="D19" s="11"/>
      <c r="E19" s="11"/>
      <c r="F19" s="11"/>
      <c r="G19" s="11"/>
      <c r="H19" s="11"/>
      <c r="I19" s="12" t="s">
        <v>9</v>
      </c>
    </row>
    <row r="20">
      <c r="B20" s="13">
        <v>14.0</v>
      </c>
      <c r="C20" s="8"/>
      <c r="D20" s="8"/>
      <c r="E20" s="8"/>
      <c r="F20" s="8"/>
      <c r="G20" s="8"/>
      <c r="H20" s="8"/>
      <c r="I20" s="14" t="s">
        <v>9</v>
      </c>
    </row>
    <row r="21">
      <c r="B21" s="10">
        <v>15.0</v>
      </c>
      <c r="C21" s="11"/>
      <c r="D21" s="11"/>
      <c r="E21" s="11"/>
      <c r="F21" s="11"/>
      <c r="G21" s="11"/>
      <c r="H21" s="11"/>
      <c r="I21" s="12" t="s">
        <v>9</v>
      </c>
    </row>
    <row r="22">
      <c r="B22" s="13">
        <v>16.0</v>
      </c>
      <c r="C22" s="8"/>
      <c r="D22" s="8"/>
      <c r="E22" s="8"/>
      <c r="F22" s="8"/>
      <c r="G22" s="8"/>
      <c r="H22" s="8"/>
      <c r="I22" s="14" t="s">
        <v>9</v>
      </c>
    </row>
    <row r="23">
      <c r="B23" s="10">
        <v>17.0</v>
      </c>
      <c r="C23" s="11"/>
      <c r="D23" s="11"/>
      <c r="E23" s="11"/>
      <c r="F23" s="11"/>
      <c r="G23" s="11"/>
      <c r="H23" s="11"/>
      <c r="I23" s="12" t="s">
        <v>9</v>
      </c>
    </row>
    <row r="24">
      <c r="B24" s="13">
        <v>18.0</v>
      </c>
      <c r="C24" s="8"/>
      <c r="D24" s="8"/>
      <c r="E24" s="8"/>
      <c r="F24" s="8"/>
      <c r="G24" s="8"/>
      <c r="H24" s="8"/>
      <c r="I24" s="14" t="s">
        <v>9</v>
      </c>
    </row>
    <row r="25">
      <c r="B25" s="10">
        <v>19.0</v>
      </c>
      <c r="C25" s="11"/>
      <c r="D25" s="11"/>
      <c r="E25" s="11"/>
      <c r="F25" s="11"/>
      <c r="G25" s="11"/>
      <c r="H25" s="11"/>
      <c r="I25" s="12" t="s">
        <v>9</v>
      </c>
    </row>
    <row r="26">
      <c r="B26" s="13">
        <v>20.0</v>
      </c>
      <c r="C26" s="8"/>
      <c r="D26" s="8"/>
      <c r="E26" s="8"/>
      <c r="F26" s="8"/>
      <c r="G26" s="8"/>
      <c r="H26" s="8"/>
      <c r="I26" s="14" t="s">
        <v>9</v>
      </c>
    </row>
    <row r="27">
      <c r="B27" s="10">
        <v>21.0</v>
      </c>
      <c r="C27" s="11"/>
      <c r="D27" s="11"/>
      <c r="E27" s="11"/>
      <c r="F27" s="11"/>
      <c r="G27" s="11"/>
      <c r="H27" s="11"/>
      <c r="I27" s="12" t="s">
        <v>9</v>
      </c>
    </row>
    <row r="28">
      <c r="B28" s="13">
        <v>22.0</v>
      </c>
      <c r="C28" s="8"/>
      <c r="D28" s="8"/>
      <c r="E28" s="8"/>
      <c r="F28" s="8"/>
      <c r="G28" s="8"/>
      <c r="H28" s="8"/>
      <c r="I28" s="14" t="s">
        <v>9</v>
      </c>
    </row>
    <row r="29">
      <c r="B29" s="10">
        <v>23.0</v>
      </c>
      <c r="C29" s="11"/>
      <c r="D29" s="11"/>
      <c r="E29" s="11"/>
      <c r="F29" s="11"/>
      <c r="G29" s="11"/>
      <c r="H29" s="11"/>
      <c r="I29" s="12" t="s">
        <v>9</v>
      </c>
    </row>
    <row r="30">
      <c r="B30" s="13">
        <v>24.0</v>
      </c>
      <c r="C30" s="8"/>
      <c r="D30" s="8"/>
      <c r="E30" s="8"/>
      <c r="F30" s="8"/>
      <c r="G30" s="8"/>
      <c r="H30" s="8"/>
      <c r="I30" s="14" t="s">
        <v>9</v>
      </c>
    </row>
    <row r="31">
      <c r="B31" s="15">
        <v>25.0</v>
      </c>
      <c r="C31" s="16"/>
      <c r="D31" s="16"/>
      <c r="E31" s="16"/>
      <c r="F31" s="16"/>
      <c r="G31" s="16"/>
      <c r="H31" s="16"/>
      <c r="I31" s="17" t="s">
        <v>9</v>
      </c>
    </row>
    <row r="32">
      <c r="I32" s="18"/>
    </row>
    <row r="33">
      <c r="I33" s="18"/>
    </row>
    <row r="34">
      <c r="I34" s="18"/>
    </row>
    <row r="35">
      <c r="I35" s="18"/>
    </row>
    <row r="36">
      <c r="I36" s="18"/>
    </row>
    <row r="37">
      <c r="I37" s="18"/>
    </row>
    <row r="38">
      <c r="I38" s="18"/>
    </row>
    <row r="39">
      <c r="I39" s="18"/>
    </row>
    <row r="40">
      <c r="I40" s="18"/>
    </row>
    <row r="41">
      <c r="I41" s="18"/>
    </row>
    <row r="42">
      <c r="I42" s="18"/>
    </row>
    <row r="43">
      <c r="I43" s="18"/>
    </row>
    <row r="44">
      <c r="I44" s="18"/>
    </row>
    <row r="45">
      <c r="I45" s="18"/>
    </row>
    <row r="46">
      <c r="I46" s="18"/>
    </row>
    <row r="47">
      <c r="I47" s="18"/>
    </row>
    <row r="48">
      <c r="I48" s="18"/>
    </row>
    <row r="49">
      <c r="I49" s="18"/>
    </row>
    <row r="50">
      <c r="I50" s="18"/>
    </row>
    <row r="51">
      <c r="I51" s="18"/>
    </row>
    <row r="52">
      <c r="I52" s="18"/>
    </row>
    <row r="53">
      <c r="I53" s="18"/>
    </row>
    <row r="54">
      <c r="I54" s="18"/>
    </row>
    <row r="55">
      <c r="I55" s="18"/>
    </row>
    <row r="56">
      <c r="I56" s="18"/>
    </row>
    <row r="57">
      <c r="I57" s="18"/>
    </row>
    <row r="58">
      <c r="I58" s="18"/>
    </row>
    <row r="59">
      <c r="I59" s="18"/>
    </row>
    <row r="60">
      <c r="I60" s="18"/>
    </row>
    <row r="61">
      <c r="I61" s="18"/>
    </row>
    <row r="62">
      <c r="I62" s="18"/>
    </row>
    <row r="63">
      <c r="I63" s="18"/>
    </row>
    <row r="64">
      <c r="I64" s="18"/>
    </row>
    <row r="65">
      <c r="I65" s="18"/>
    </row>
    <row r="66">
      <c r="I66" s="18"/>
    </row>
    <row r="67">
      <c r="I67" s="18"/>
    </row>
    <row r="68">
      <c r="I68" s="18"/>
    </row>
    <row r="69">
      <c r="I69" s="18"/>
    </row>
    <row r="70">
      <c r="I70" s="18"/>
    </row>
    <row r="71">
      <c r="I71" s="18"/>
    </row>
    <row r="72">
      <c r="I72" s="18"/>
    </row>
    <row r="73">
      <c r="I73" s="18"/>
    </row>
    <row r="74">
      <c r="I74" s="18"/>
    </row>
    <row r="75">
      <c r="I75" s="18"/>
    </row>
    <row r="76">
      <c r="I76" s="18"/>
    </row>
    <row r="77">
      <c r="I77" s="18"/>
    </row>
    <row r="78">
      <c r="I78" s="18"/>
    </row>
    <row r="79">
      <c r="I79" s="18"/>
    </row>
    <row r="80">
      <c r="I80" s="18"/>
    </row>
    <row r="81">
      <c r="I81" s="18"/>
    </row>
    <row r="82">
      <c r="I82" s="18"/>
    </row>
    <row r="83">
      <c r="I83" s="18"/>
    </row>
    <row r="84">
      <c r="I84" s="18"/>
    </row>
    <row r="85">
      <c r="I85" s="18"/>
    </row>
    <row r="86">
      <c r="I86" s="18"/>
    </row>
    <row r="87">
      <c r="I87" s="18"/>
    </row>
    <row r="88">
      <c r="I88" s="18"/>
    </row>
    <row r="89">
      <c r="I89" s="18"/>
    </row>
    <row r="90">
      <c r="I90" s="18"/>
    </row>
    <row r="91">
      <c r="I91" s="18"/>
    </row>
    <row r="92">
      <c r="I92" s="18"/>
    </row>
    <row r="93">
      <c r="I93" s="18"/>
    </row>
    <row r="94">
      <c r="I94" s="18"/>
    </row>
    <row r="95">
      <c r="I95" s="18"/>
    </row>
    <row r="96">
      <c r="I96" s="18"/>
    </row>
    <row r="97">
      <c r="I97" s="18"/>
    </row>
    <row r="98">
      <c r="I98" s="18"/>
    </row>
    <row r="99">
      <c r="I99" s="18"/>
    </row>
    <row r="100">
      <c r="I100" s="18"/>
    </row>
    <row r="101">
      <c r="I101" s="18"/>
    </row>
    <row r="102">
      <c r="I102" s="18"/>
    </row>
    <row r="103">
      <c r="I103" s="18"/>
    </row>
    <row r="104">
      <c r="I104" s="18"/>
    </row>
    <row r="105">
      <c r="I105" s="18"/>
    </row>
    <row r="106">
      <c r="I106" s="18"/>
    </row>
    <row r="107">
      <c r="I107" s="18"/>
    </row>
    <row r="108">
      <c r="I108" s="18"/>
    </row>
    <row r="109">
      <c r="I109" s="18"/>
    </row>
    <row r="110">
      <c r="I110" s="18"/>
    </row>
    <row r="111">
      <c r="I111" s="18"/>
    </row>
    <row r="112">
      <c r="I112" s="18"/>
    </row>
    <row r="113">
      <c r="I113" s="18"/>
    </row>
    <row r="114">
      <c r="I114" s="18"/>
    </row>
    <row r="115">
      <c r="I115" s="18"/>
    </row>
    <row r="116">
      <c r="I116" s="18"/>
    </row>
    <row r="117">
      <c r="I117" s="18"/>
    </row>
    <row r="118">
      <c r="I118" s="18"/>
    </row>
    <row r="119">
      <c r="I119" s="18"/>
    </row>
    <row r="120">
      <c r="I120" s="18"/>
    </row>
    <row r="121">
      <c r="I121" s="18"/>
    </row>
    <row r="122">
      <c r="I122" s="18"/>
    </row>
    <row r="123">
      <c r="I123" s="18"/>
    </row>
    <row r="124">
      <c r="I124" s="18"/>
    </row>
    <row r="125">
      <c r="I125" s="18"/>
    </row>
    <row r="126">
      <c r="I126" s="18"/>
    </row>
    <row r="127">
      <c r="I127" s="18"/>
    </row>
    <row r="128">
      <c r="I128" s="18"/>
    </row>
    <row r="129">
      <c r="I129" s="18"/>
    </row>
    <row r="130">
      <c r="I130" s="18"/>
    </row>
    <row r="131">
      <c r="I131" s="18"/>
    </row>
    <row r="132">
      <c r="I132" s="18"/>
    </row>
    <row r="133">
      <c r="I133" s="18"/>
    </row>
    <row r="134">
      <c r="I134" s="18"/>
    </row>
    <row r="135">
      <c r="I135" s="18"/>
    </row>
    <row r="136">
      <c r="I136" s="18"/>
    </row>
    <row r="137">
      <c r="I137" s="18"/>
    </row>
    <row r="138">
      <c r="I138" s="18"/>
    </row>
    <row r="139">
      <c r="I139" s="18"/>
    </row>
    <row r="140">
      <c r="I140" s="18"/>
    </row>
    <row r="141">
      <c r="I141" s="18"/>
    </row>
    <row r="142">
      <c r="I142" s="18"/>
    </row>
    <row r="143">
      <c r="I143" s="18"/>
    </row>
    <row r="144">
      <c r="I144" s="18"/>
    </row>
    <row r="145">
      <c r="I145" s="18"/>
    </row>
    <row r="146">
      <c r="I146" s="18"/>
    </row>
    <row r="147">
      <c r="I147" s="18"/>
    </row>
    <row r="148">
      <c r="I148" s="18"/>
    </row>
    <row r="149">
      <c r="I149" s="18"/>
    </row>
    <row r="150">
      <c r="I150" s="18"/>
    </row>
    <row r="151">
      <c r="I151" s="18"/>
    </row>
    <row r="152">
      <c r="I152" s="18"/>
    </row>
    <row r="153">
      <c r="I153" s="18"/>
    </row>
    <row r="154">
      <c r="I154" s="18"/>
    </row>
    <row r="155">
      <c r="I155" s="18"/>
    </row>
    <row r="156">
      <c r="I156" s="18"/>
    </row>
    <row r="157">
      <c r="I157" s="18"/>
    </row>
    <row r="158">
      <c r="I158" s="18"/>
    </row>
    <row r="159">
      <c r="I159" s="18"/>
    </row>
    <row r="160">
      <c r="I160" s="18"/>
    </row>
    <row r="161">
      <c r="I161" s="18"/>
    </row>
    <row r="162">
      <c r="I162" s="18"/>
    </row>
    <row r="163">
      <c r="I163" s="18"/>
    </row>
    <row r="164">
      <c r="I164" s="18"/>
    </row>
    <row r="165">
      <c r="I165" s="18"/>
    </row>
    <row r="166">
      <c r="I166" s="18"/>
    </row>
    <row r="167">
      <c r="I167" s="18"/>
    </row>
    <row r="168">
      <c r="I168" s="18"/>
    </row>
    <row r="169">
      <c r="I169" s="18"/>
    </row>
    <row r="170">
      <c r="I170" s="18"/>
    </row>
    <row r="171">
      <c r="I171" s="18"/>
    </row>
    <row r="172">
      <c r="I172" s="18"/>
    </row>
    <row r="173">
      <c r="I173" s="18"/>
    </row>
    <row r="174">
      <c r="I174" s="18"/>
    </row>
    <row r="175">
      <c r="I175" s="18"/>
    </row>
    <row r="176">
      <c r="I176" s="18"/>
    </row>
    <row r="177">
      <c r="I177" s="18"/>
    </row>
    <row r="178">
      <c r="I178" s="18"/>
    </row>
    <row r="179">
      <c r="I179" s="18"/>
    </row>
    <row r="180">
      <c r="I180" s="18"/>
    </row>
    <row r="181">
      <c r="I181" s="18"/>
    </row>
    <row r="182">
      <c r="I182" s="18"/>
    </row>
    <row r="183">
      <c r="I183" s="18"/>
    </row>
    <row r="184">
      <c r="I184" s="18"/>
    </row>
    <row r="185">
      <c r="I185" s="18"/>
    </row>
    <row r="186">
      <c r="I186" s="18"/>
    </row>
    <row r="187">
      <c r="I187" s="18"/>
    </row>
    <row r="188">
      <c r="I188" s="18"/>
    </row>
    <row r="189">
      <c r="I189" s="18"/>
    </row>
    <row r="190">
      <c r="I190" s="18"/>
    </row>
    <row r="191">
      <c r="I191" s="18"/>
    </row>
    <row r="192">
      <c r="I192" s="18"/>
    </row>
    <row r="193">
      <c r="I193" s="18"/>
    </row>
    <row r="194">
      <c r="I194" s="18"/>
    </row>
    <row r="195">
      <c r="I195" s="18"/>
    </row>
    <row r="196">
      <c r="I196" s="18"/>
    </row>
    <row r="197">
      <c r="I197" s="18"/>
    </row>
    <row r="198">
      <c r="I198" s="18"/>
    </row>
    <row r="199">
      <c r="I199" s="18"/>
    </row>
    <row r="200">
      <c r="I200" s="18"/>
    </row>
    <row r="201">
      <c r="I201" s="18"/>
    </row>
    <row r="202">
      <c r="I202" s="18"/>
    </row>
    <row r="203">
      <c r="I203" s="18"/>
    </row>
    <row r="204">
      <c r="I204" s="18"/>
    </row>
    <row r="205">
      <c r="I205" s="18"/>
    </row>
    <row r="206">
      <c r="I206" s="18"/>
    </row>
    <row r="207">
      <c r="I207" s="18"/>
    </row>
    <row r="208">
      <c r="I208" s="18"/>
    </row>
    <row r="209">
      <c r="I209" s="18"/>
    </row>
    <row r="210">
      <c r="I210" s="18"/>
    </row>
    <row r="211">
      <c r="I211" s="18"/>
    </row>
    <row r="212">
      <c r="I212" s="18"/>
    </row>
    <row r="213">
      <c r="I213" s="18"/>
    </row>
    <row r="214">
      <c r="I214" s="18"/>
    </row>
    <row r="215">
      <c r="I215" s="18"/>
    </row>
    <row r="216">
      <c r="I216" s="18"/>
    </row>
    <row r="217">
      <c r="I217" s="18"/>
    </row>
    <row r="218">
      <c r="I218" s="18"/>
    </row>
    <row r="219">
      <c r="I219" s="18"/>
    </row>
    <row r="220">
      <c r="I220" s="18"/>
    </row>
    <row r="221">
      <c r="I221" s="18"/>
    </row>
    <row r="222">
      <c r="I222" s="18"/>
    </row>
    <row r="223">
      <c r="I223" s="18"/>
    </row>
    <row r="224">
      <c r="I224" s="18"/>
    </row>
    <row r="225">
      <c r="I225" s="18"/>
    </row>
    <row r="226">
      <c r="I226" s="18"/>
    </row>
    <row r="227">
      <c r="I227" s="18"/>
    </row>
    <row r="228">
      <c r="I228" s="18"/>
    </row>
    <row r="229">
      <c r="I229" s="18"/>
    </row>
    <row r="230">
      <c r="I230" s="18"/>
    </row>
    <row r="231">
      <c r="I231" s="18"/>
    </row>
    <row r="232">
      <c r="I232" s="18"/>
    </row>
    <row r="233">
      <c r="I233" s="18"/>
    </row>
    <row r="234">
      <c r="I234" s="18"/>
    </row>
    <row r="235">
      <c r="I235" s="18"/>
    </row>
    <row r="236">
      <c r="I236" s="18"/>
    </row>
    <row r="237">
      <c r="I237" s="18"/>
    </row>
    <row r="238">
      <c r="I238" s="18"/>
    </row>
    <row r="239">
      <c r="I239" s="18"/>
    </row>
    <row r="240">
      <c r="I240" s="18"/>
    </row>
    <row r="241">
      <c r="I241" s="18"/>
    </row>
    <row r="242">
      <c r="I242" s="18"/>
    </row>
    <row r="243">
      <c r="I243" s="18"/>
    </row>
    <row r="244">
      <c r="I244" s="18"/>
    </row>
    <row r="245">
      <c r="I245" s="18"/>
    </row>
    <row r="246">
      <c r="I246" s="18"/>
    </row>
    <row r="247">
      <c r="I247" s="18"/>
    </row>
    <row r="248">
      <c r="I248" s="18"/>
    </row>
    <row r="249">
      <c r="I249" s="18"/>
    </row>
    <row r="250">
      <c r="I250" s="18"/>
    </row>
    <row r="251">
      <c r="I251" s="18"/>
    </row>
    <row r="252">
      <c r="I252" s="18"/>
    </row>
    <row r="253">
      <c r="I253" s="18"/>
    </row>
    <row r="254">
      <c r="I254" s="18"/>
    </row>
    <row r="255">
      <c r="I255" s="18"/>
    </row>
    <row r="256">
      <c r="I256" s="18"/>
    </row>
    <row r="257">
      <c r="I257" s="18"/>
    </row>
    <row r="258">
      <c r="I258" s="18"/>
    </row>
    <row r="259">
      <c r="I259" s="18"/>
    </row>
    <row r="260">
      <c r="I260" s="18"/>
    </row>
    <row r="261">
      <c r="I261" s="18"/>
    </row>
    <row r="262">
      <c r="I262" s="18"/>
    </row>
    <row r="263">
      <c r="I263" s="18"/>
    </row>
    <row r="264">
      <c r="I264" s="18"/>
    </row>
    <row r="265">
      <c r="I265" s="18"/>
    </row>
    <row r="266">
      <c r="I266" s="18"/>
    </row>
    <row r="267">
      <c r="I267" s="18"/>
    </row>
    <row r="268">
      <c r="I268" s="18"/>
    </row>
    <row r="269">
      <c r="I269" s="18"/>
    </row>
    <row r="270">
      <c r="I270" s="18"/>
    </row>
    <row r="271">
      <c r="I271" s="18"/>
    </row>
    <row r="272">
      <c r="I272" s="18"/>
    </row>
    <row r="273">
      <c r="I273" s="18"/>
    </row>
    <row r="274">
      <c r="I274" s="18"/>
    </row>
    <row r="275">
      <c r="I275" s="18"/>
    </row>
    <row r="276">
      <c r="I276" s="18"/>
    </row>
    <row r="277">
      <c r="I277" s="18"/>
    </row>
    <row r="278">
      <c r="I278" s="18"/>
    </row>
    <row r="279">
      <c r="I279" s="18"/>
    </row>
    <row r="280">
      <c r="I280" s="18"/>
    </row>
    <row r="281">
      <c r="I281" s="18"/>
    </row>
    <row r="282">
      <c r="I282" s="18"/>
    </row>
    <row r="283">
      <c r="I283" s="18"/>
    </row>
    <row r="284">
      <c r="I284" s="18"/>
    </row>
    <row r="285">
      <c r="I285" s="18"/>
    </row>
    <row r="286">
      <c r="I286" s="18"/>
    </row>
    <row r="287">
      <c r="I287" s="18"/>
    </row>
    <row r="288">
      <c r="I288" s="18"/>
    </row>
    <row r="289">
      <c r="I289" s="18"/>
    </row>
    <row r="290">
      <c r="I290" s="18"/>
    </row>
    <row r="291">
      <c r="I291" s="18"/>
    </row>
    <row r="292">
      <c r="I292" s="18"/>
    </row>
    <row r="293">
      <c r="I293" s="18"/>
    </row>
    <row r="294">
      <c r="I294" s="18"/>
    </row>
    <row r="295">
      <c r="I295" s="18"/>
    </row>
    <row r="296">
      <c r="I296" s="18"/>
    </row>
    <row r="297">
      <c r="I297" s="18"/>
    </row>
    <row r="298">
      <c r="I298" s="18"/>
    </row>
    <row r="299">
      <c r="I299" s="18"/>
    </row>
    <row r="300">
      <c r="I300" s="18"/>
    </row>
    <row r="301">
      <c r="I301" s="18"/>
    </row>
    <row r="302">
      <c r="I302" s="18"/>
    </row>
    <row r="303">
      <c r="I303" s="18"/>
    </row>
    <row r="304">
      <c r="I304" s="18"/>
    </row>
    <row r="305">
      <c r="I305" s="18"/>
    </row>
    <row r="306">
      <c r="I306" s="18"/>
    </row>
    <row r="307">
      <c r="I307" s="18"/>
    </row>
    <row r="308">
      <c r="I308" s="18"/>
    </row>
    <row r="309">
      <c r="I309" s="18"/>
    </row>
    <row r="310">
      <c r="I310" s="18"/>
    </row>
    <row r="311">
      <c r="I311" s="18"/>
    </row>
    <row r="312">
      <c r="I312" s="18"/>
    </row>
    <row r="313">
      <c r="I313" s="18"/>
    </row>
    <row r="314">
      <c r="I314" s="18"/>
    </row>
    <row r="315">
      <c r="I315" s="18"/>
    </row>
    <row r="316">
      <c r="I316" s="18"/>
    </row>
    <row r="317">
      <c r="I317" s="18"/>
    </row>
    <row r="318">
      <c r="I318" s="18"/>
    </row>
    <row r="319">
      <c r="I319" s="18"/>
    </row>
    <row r="320">
      <c r="I320" s="18"/>
    </row>
    <row r="321">
      <c r="I321" s="18"/>
    </row>
    <row r="322">
      <c r="I322" s="18"/>
    </row>
    <row r="323">
      <c r="I323" s="18"/>
    </row>
    <row r="324">
      <c r="I324" s="18"/>
    </row>
    <row r="325">
      <c r="I325" s="18"/>
    </row>
    <row r="326">
      <c r="I326" s="18"/>
    </row>
    <row r="327">
      <c r="I327" s="18"/>
    </row>
    <row r="328">
      <c r="I328" s="18"/>
    </row>
    <row r="329">
      <c r="I329" s="18"/>
    </row>
    <row r="330">
      <c r="I330" s="18"/>
    </row>
    <row r="331">
      <c r="I331" s="18"/>
    </row>
    <row r="332">
      <c r="I332" s="18"/>
    </row>
    <row r="333">
      <c r="I333" s="18"/>
    </row>
    <row r="334">
      <c r="I334" s="18"/>
    </row>
    <row r="335">
      <c r="I335" s="18"/>
    </row>
    <row r="336">
      <c r="I336" s="18"/>
    </row>
    <row r="337">
      <c r="I337" s="18"/>
    </row>
    <row r="338">
      <c r="I338" s="18"/>
    </row>
    <row r="339">
      <c r="I339" s="18"/>
    </row>
    <row r="340">
      <c r="I340" s="18"/>
    </row>
    <row r="341">
      <c r="I341" s="18"/>
    </row>
    <row r="342">
      <c r="I342" s="18"/>
    </row>
    <row r="343">
      <c r="I343" s="18"/>
    </row>
    <row r="344">
      <c r="I344" s="18"/>
    </row>
    <row r="345">
      <c r="I345" s="18"/>
    </row>
    <row r="346">
      <c r="I346" s="18"/>
    </row>
    <row r="347">
      <c r="I347" s="18"/>
    </row>
    <row r="348">
      <c r="I348" s="18"/>
    </row>
    <row r="349">
      <c r="I349" s="18"/>
    </row>
    <row r="350">
      <c r="I350" s="18"/>
    </row>
    <row r="351">
      <c r="I351" s="18"/>
    </row>
    <row r="352">
      <c r="I352" s="18"/>
    </row>
    <row r="353">
      <c r="I353" s="18"/>
    </row>
    <row r="354">
      <c r="I354" s="18"/>
    </row>
    <row r="355">
      <c r="I355" s="18"/>
    </row>
    <row r="356">
      <c r="I356" s="18"/>
    </row>
    <row r="357">
      <c r="I357" s="18"/>
    </row>
    <row r="358">
      <c r="I358" s="18"/>
    </row>
    <row r="359">
      <c r="I359" s="18"/>
    </row>
    <row r="360">
      <c r="I360" s="18"/>
    </row>
    <row r="361">
      <c r="I361" s="18"/>
    </row>
    <row r="362">
      <c r="I362" s="18"/>
    </row>
    <row r="363">
      <c r="I363" s="18"/>
    </row>
    <row r="364">
      <c r="I364" s="18"/>
    </row>
    <row r="365">
      <c r="I365" s="18"/>
    </row>
    <row r="366">
      <c r="I366" s="18"/>
    </row>
    <row r="367">
      <c r="I367" s="18"/>
    </row>
    <row r="368">
      <c r="I368" s="18"/>
    </row>
    <row r="369">
      <c r="I369" s="18"/>
    </row>
    <row r="370">
      <c r="I370" s="18"/>
    </row>
    <row r="371">
      <c r="I371" s="18"/>
    </row>
    <row r="372">
      <c r="I372" s="18"/>
    </row>
    <row r="373">
      <c r="I373" s="18"/>
    </row>
    <row r="374">
      <c r="I374" s="18"/>
    </row>
    <row r="375">
      <c r="I375" s="18"/>
    </row>
    <row r="376">
      <c r="I376" s="18"/>
    </row>
    <row r="377">
      <c r="I377" s="18"/>
    </row>
    <row r="378">
      <c r="I378" s="18"/>
    </row>
    <row r="379">
      <c r="I379" s="18"/>
    </row>
    <row r="380">
      <c r="I380" s="18"/>
    </row>
    <row r="381">
      <c r="I381" s="18"/>
    </row>
    <row r="382">
      <c r="I382" s="18"/>
    </row>
    <row r="383">
      <c r="I383" s="18"/>
    </row>
    <row r="384">
      <c r="I384" s="18"/>
    </row>
    <row r="385">
      <c r="I385" s="18"/>
    </row>
    <row r="386">
      <c r="I386" s="18"/>
    </row>
    <row r="387">
      <c r="I387" s="18"/>
    </row>
    <row r="388">
      <c r="I388" s="18"/>
    </row>
    <row r="389">
      <c r="I389" s="18"/>
    </row>
    <row r="390">
      <c r="I390" s="18"/>
    </row>
    <row r="391">
      <c r="I391" s="18"/>
    </row>
    <row r="392">
      <c r="I392" s="18"/>
    </row>
    <row r="393">
      <c r="I393" s="18"/>
    </row>
    <row r="394">
      <c r="I394" s="18"/>
    </row>
    <row r="395">
      <c r="I395" s="18"/>
    </row>
    <row r="396">
      <c r="I396" s="18"/>
    </row>
    <row r="397">
      <c r="I397" s="18"/>
    </row>
    <row r="398">
      <c r="I398" s="18"/>
    </row>
    <row r="399">
      <c r="I399" s="18"/>
    </row>
    <row r="400">
      <c r="I400" s="18"/>
    </row>
    <row r="401">
      <c r="I401" s="18"/>
    </row>
    <row r="402">
      <c r="I402" s="18"/>
    </row>
    <row r="403">
      <c r="I403" s="18"/>
    </row>
    <row r="404">
      <c r="I404" s="18"/>
    </row>
    <row r="405">
      <c r="I405" s="18"/>
    </row>
    <row r="406">
      <c r="I406" s="18"/>
    </row>
    <row r="407">
      <c r="I407" s="18"/>
    </row>
    <row r="408">
      <c r="I408" s="18"/>
    </row>
    <row r="409">
      <c r="I409" s="18"/>
    </row>
    <row r="410">
      <c r="I410" s="18"/>
    </row>
    <row r="411">
      <c r="I411" s="18"/>
    </row>
    <row r="412">
      <c r="I412" s="18"/>
    </row>
    <row r="413">
      <c r="I413" s="18"/>
    </row>
    <row r="414">
      <c r="I414" s="18"/>
    </row>
    <row r="415">
      <c r="I415" s="18"/>
    </row>
    <row r="416">
      <c r="I416" s="18"/>
    </row>
    <row r="417">
      <c r="I417" s="18"/>
    </row>
    <row r="418">
      <c r="I418" s="18"/>
    </row>
    <row r="419">
      <c r="I419" s="18"/>
    </row>
    <row r="420">
      <c r="I420" s="18"/>
    </row>
    <row r="421">
      <c r="I421" s="18"/>
    </row>
    <row r="422">
      <c r="I422" s="18"/>
    </row>
    <row r="423">
      <c r="I423" s="18"/>
    </row>
    <row r="424">
      <c r="I424" s="18"/>
    </row>
    <row r="425">
      <c r="I425" s="18"/>
    </row>
    <row r="426">
      <c r="I426" s="18"/>
    </row>
    <row r="427">
      <c r="I427" s="18"/>
    </row>
    <row r="428">
      <c r="I428" s="18"/>
    </row>
    <row r="429">
      <c r="I429" s="18"/>
    </row>
    <row r="430">
      <c r="I430" s="18"/>
    </row>
    <row r="431">
      <c r="I431" s="18"/>
    </row>
    <row r="432">
      <c r="I432" s="18"/>
    </row>
    <row r="433">
      <c r="I433" s="18"/>
    </row>
    <row r="434">
      <c r="I434" s="18"/>
    </row>
    <row r="435">
      <c r="I435" s="18"/>
    </row>
    <row r="436">
      <c r="I436" s="18"/>
    </row>
    <row r="437">
      <c r="I437" s="18"/>
    </row>
    <row r="438">
      <c r="I438" s="18"/>
    </row>
    <row r="439">
      <c r="I439" s="18"/>
    </row>
    <row r="440">
      <c r="I440" s="18"/>
    </row>
    <row r="441">
      <c r="I441" s="18"/>
    </row>
    <row r="442">
      <c r="I442" s="18"/>
    </row>
    <row r="443">
      <c r="I443" s="18"/>
    </row>
    <row r="444">
      <c r="I444" s="18"/>
    </row>
    <row r="445">
      <c r="I445" s="18"/>
    </row>
    <row r="446">
      <c r="I446" s="18"/>
    </row>
    <row r="447">
      <c r="I447" s="18"/>
    </row>
    <row r="448">
      <c r="I448" s="18"/>
    </row>
    <row r="449">
      <c r="I449" s="18"/>
    </row>
    <row r="450">
      <c r="I450" s="18"/>
    </row>
    <row r="451">
      <c r="I451" s="18"/>
    </row>
    <row r="452">
      <c r="I452" s="18"/>
    </row>
    <row r="453">
      <c r="I453" s="18"/>
    </row>
    <row r="454">
      <c r="I454" s="18"/>
    </row>
    <row r="455">
      <c r="I455" s="18"/>
    </row>
    <row r="456">
      <c r="I456" s="18"/>
    </row>
    <row r="457">
      <c r="I457" s="18"/>
    </row>
    <row r="458">
      <c r="I458" s="18"/>
    </row>
    <row r="459">
      <c r="I459" s="18"/>
    </row>
    <row r="460">
      <c r="I460" s="18"/>
    </row>
    <row r="461">
      <c r="I461" s="18"/>
    </row>
    <row r="462">
      <c r="I462" s="18"/>
    </row>
    <row r="463">
      <c r="I463" s="18"/>
    </row>
    <row r="464">
      <c r="I464" s="18"/>
    </row>
    <row r="465">
      <c r="I465" s="18"/>
    </row>
    <row r="466">
      <c r="I466" s="18"/>
    </row>
    <row r="467">
      <c r="I467" s="18"/>
    </row>
    <row r="468">
      <c r="I468" s="18"/>
    </row>
    <row r="469">
      <c r="I469" s="18"/>
    </row>
    <row r="470">
      <c r="I470" s="18"/>
    </row>
    <row r="471">
      <c r="I471" s="18"/>
    </row>
    <row r="472">
      <c r="I472" s="18"/>
    </row>
    <row r="473">
      <c r="I473" s="18"/>
    </row>
    <row r="474">
      <c r="I474" s="18"/>
    </row>
    <row r="475">
      <c r="I475" s="18"/>
    </row>
    <row r="476">
      <c r="I476" s="18"/>
    </row>
    <row r="477">
      <c r="I477" s="18"/>
    </row>
    <row r="478">
      <c r="I478" s="18"/>
    </row>
    <row r="479">
      <c r="I479" s="18"/>
    </row>
    <row r="480">
      <c r="I480" s="18"/>
    </row>
    <row r="481">
      <c r="I481" s="18"/>
    </row>
    <row r="482">
      <c r="I482" s="18"/>
    </row>
    <row r="483">
      <c r="I483" s="18"/>
    </row>
    <row r="484">
      <c r="I484" s="18"/>
    </row>
    <row r="485">
      <c r="I485" s="18"/>
    </row>
    <row r="486">
      <c r="I486" s="18"/>
    </row>
    <row r="487">
      <c r="I487" s="18"/>
    </row>
    <row r="488">
      <c r="I488" s="18"/>
    </row>
    <row r="489">
      <c r="I489" s="18"/>
    </row>
    <row r="490">
      <c r="I490" s="18"/>
    </row>
    <row r="491">
      <c r="I491" s="18"/>
    </row>
    <row r="492">
      <c r="I492" s="18"/>
    </row>
    <row r="493">
      <c r="I493" s="18"/>
    </row>
    <row r="494">
      <c r="I494" s="18"/>
    </row>
    <row r="495">
      <c r="I495" s="18"/>
    </row>
    <row r="496">
      <c r="I496" s="18"/>
    </row>
    <row r="497">
      <c r="I497" s="18"/>
    </row>
    <row r="498">
      <c r="I498" s="18"/>
    </row>
    <row r="499">
      <c r="I499" s="18"/>
    </row>
    <row r="500">
      <c r="I500" s="18"/>
    </row>
    <row r="501">
      <c r="I501" s="18"/>
    </row>
    <row r="502">
      <c r="I502" s="18"/>
    </row>
    <row r="503">
      <c r="I503" s="18"/>
    </row>
    <row r="504">
      <c r="I504" s="18"/>
    </row>
    <row r="505">
      <c r="I505" s="18"/>
    </row>
    <row r="506">
      <c r="I506" s="18"/>
    </row>
    <row r="507">
      <c r="I507" s="18"/>
    </row>
    <row r="508">
      <c r="I508" s="18"/>
    </row>
    <row r="509">
      <c r="I509" s="18"/>
    </row>
    <row r="510">
      <c r="I510" s="18"/>
    </row>
    <row r="511">
      <c r="I511" s="18"/>
    </row>
    <row r="512">
      <c r="I512" s="18"/>
    </row>
    <row r="513">
      <c r="I513" s="18"/>
    </row>
    <row r="514">
      <c r="I514" s="18"/>
    </row>
    <row r="515">
      <c r="I515" s="18"/>
    </row>
    <row r="516">
      <c r="I516" s="18"/>
    </row>
    <row r="517">
      <c r="I517" s="18"/>
    </row>
    <row r="518">
      <c r="I518" s="18"/>
    </row>
    <row r="519">
      <c r="I519" s="18"/>
    </row>
    <row r="520">
      <c r="I520" s="18"/>
    </row>
    <row r="521">
      <c r="I521" s="18"/>
    </row>
    <row r="522">
      <c r="I522" s="18"/>
    </row>
    <row r="523">
      <c r="I523" s="18"/>
    </row>
    <row r="524">
      <c r="I524" s="18"/>
    </row>
    <row r="525">
      <c r="I525" s="18"/>
    </row>
    <row r="526">
      <c r="I526" s="18"/>
    </row>
    <row r="527">
      <c r="I527" s="18"/>
    </row>
    <row r="528">
      <c r="I528" s="18"/>
    </row>
    <row r="529">
      <c r="I529" s="18"/>
    </row>
    <row r="530">
      <c r="I530" s="18"/>
    </row>
    <row r="531">
      <c r="I531" s="18"/>
    </row>
    <row r="532">
      <c r="I532" s="18"/>
    </row>
    <row r="533">
      <c r="I533" s="18"/>
    </row>
    <row r="534">
      <c r="I534" s="18"/>
    </row>
    <row r="535">
      <c r="I535" s="18"/>
    </row>
    <row r="536">
      <c r="I536" s="18"/>
    </row>
    <row r="537">
      <c r="I537" s="18"/>
    </row>
    <row r="538">
      <c r="I538" s="18"/>
    </row>
    <row r="539">
      <c r="I539" s="18"/>
    </row>
    <row r="540">
      <c r="I540" s="18"/>
    </row>
    <row r="541">
      <c r="I541" s="18"/>
    </row>
    <row r="542">
      <c r="I542" s="18"/>
    </row>
    <row r="543">
      <c r="I543" s="18"/>
    </row>
    <row r="544">
      <c r="I544" s="18"/>
    </row>
    <row r="545">
      <c r="I545" s="18"/>
    </row>
    <row r="546">
      <c r="I546" s="18"/>
    </row>
    <row r="547">
      <c r="I547" s="18"/>
    </row>
    <row r="548">
      <c r="I548" s="18"/>
    </row>
    <row r="549">
      <c r="I549" s="18"/>
    </row>
    <row r="550">
      <c r="I550" s="18"/>
    </row>
    <row r="551">
      <c r="I551" s="18"/>
    </row>
    <row r="552">
      <c r="I552" s="18"/>
    </row>
    <row r="553">
      <c r="I553" s="18"/>
    </row>
    <row r="554">
      <c r="I554" s="18"/>
    </row>
    <row r="555">
      <c r="I555" s="18"/>
    </row>
    <row r="556">
      <c r="I556" s="18"/>
    </row>
    <row r="557">
      <c r="I557" s="18"/>
    </row>
    <row r="558">
      <c r="I558" s="18"/>
    </row>
    <row r="559">
      <c r="I559" s="18"/>
    </row>
    <row r="560">
      <c r="I560" s="18"/>
    </row>
    <row r="561">
      <c r="I561" s="18"/>
    </row>
    <row r="562">
      <c r="I562" s="18"/>
    </row>
    <row r="563">
      <c r="I563" s="18"/>
    </row>
    <row r="564">
      <c r="I564" s="18"/>
    </row>
    <row r="565">
      <c r="I565" s="18"/>
    </row>
    <row r="566">
      <c r="I566" s="18"/>
    </row>
    <row r="567">
      <c r="I567" s="18"/>
    </row>
    <row r="568">
      <c r="I568" s="18"/>
    </row>
    <row r="569">
      <c r="I569" s="18"/>
    </row>
    <row r="570">
      <c r="I570" s="18"/>
    </row>
    <row r="571">
      <c r="I571" s="18"/>
    </row>
    <row r="572">
      <c r="I572" s="18"/>
    </row>
    <row r="573">
      <c r="I573" s="18"/>
    </row>
    <row r="574">
      <c r="I574" s="18"/>
    </row>
    <row r="575">
      <c r="I575" s="18"/>
    </row>
    <row r="576">
      <c r="I576" s="18"/>
    </row>
    <row r="577">
      <c r="I577" s="18"/>
    </row>
    <row r="578">
      <c r="I578" s="18"/>
    </row>
    <row r="579">
      <c r="I579" s="18"/>
    </row>
    <row r="580">
      <c r="I580" s="18"/>
    </row>
    <row r="581">
      <c r="I581" s="18"/>
    </row>
    <row r="582">
      <c r="I582" s="18"/>
    </row>
    <row r="583">
      <c r="I583" s="18"/>
    </row>
    <row r="584">
      <c r="I584" s="18"/>
    </row>
    <row r="585">
      <c r="I585" s="18"/>
    </row>
    <row r="586">
      <c r="I586" s="18"/>
    </row>
    <row r="587">
      <c r="I587" s="18"/>
    </row>
    <row r="588">
      <c r="I588" s="18"/>
    </row>
    <row r="589">
      <c r="I589" s="18"/>
    </row>
    <row r="590">
      <c r="I590" s="18"/>
    </row>
    <row r="591">
      <c r="I591" s="18"/>
    </row>
    <row r="592">
      <c r="I592" s="18"/>
    </row>
    <row r="593">
      <c r="I593" s="18"/>
    </row>
    <row r="594">
      <c r="I594" s="18"/>
    </row>
    <row r="595">
      <c r="I595" s="18"/>
    </row>
    <row r="596">
      <c r="I596" s="18"/>
    </row>
    <row r="597">
      <c r="I597" s="18"/>
    </row>
    <row r="598">
      <c r="I598" s="18"/>
    </row>
    <row r="599">
      <c r="I599" s="18"/>
    </row>
    <row r="600">
      <c r="I600" s="18"/>
    </row>
    <row r="601">
      <c r="I601" s="18"/>
    </row>
    <row r="602">
      <c r="I602" s="18"/>
    </row>
    <row r="603">
      <c r="I603" s="18"/>
    </row>
    <row r="604">
      <c r="I604" s="18"/>
    </row>
    <row r="605">
      <c r="I605" s="18"/>
    </row>
    <row r="606">
      <c r="I606" s="18"/>
    </row>
    <row r="607">
      <c r="I607" s="18"/>
    </row>
    <row r="608">
      <c r="I608" s="18"/>
    </row>
    <row r="609">
      <c r="I609" s="18"/>
    </row>
    <row r="610">
      <c r="I610" s="18"/>
    </row>
    <row r="611">
      <c r="I611" s="18"/>
    </row>
    <row r="612">
      <c r="I612" s="18"/>
    </row>
    <row r="613">
      <c r="I613" s="18"/>
    </row>
    <row r="614">
      <c r="I614" s="18"/>
    </row>
    <row r="615">
      <c r="I615" s="18"/>
    </row>
    <row r="616">
      <c r="I616" s="18"/>
    </row>
    <row r="617">
      <c r="I617" s="18"/>
    </row>
    <row r="618">
      <c r="I618" s="18"/>
    </row>
    <row r="619">
      <c r="I619" s="18"/>
    </row>
    <row r="620">
      <c r="I620" s="18"/>
    </row>
    <row r="621">
      <c r="I621" s="18"/>
    </row>
    <row r="622">
      <c r="I622" s="18"/>
    </row>
    <row r="623">
      <c r="I623" s="18"/>
    </row>
    <row r="624">
      <c r="I624" s="18"/>
    </row>
    <row r="625">
      <c r="I625" s="18"/>
    </row>
    <row r="626">
      <c r="I626" s="18"/>
    </row>
    <row r="627">
      <c r="I627" s="18"/>
    </row>
    <row r="628">
      <c r="I628" s="18"/>
    </row>
    <row r="629">
      <c r="I629" s="18"/>
    </row>
    <row r="630">
      <c r="I630" s="18"/>
    </row>
    <row r="631">
      <c r="I631" s="18"/>
    </row>
    <row r="632">
      <c r="I632" s="18"/>
    </row>
    <row r="633">
      <c r="I633" s="18"/>
    </row>
    <row r="634">
      <c r="I634" s="18"/>
    </row>
    <row r="635">
      <c r="I635" s="18"/>
    </row>
    <row r="636">
      <c r="I636" s="18"/>
    </row>
    <row r="637">
      <c r="I637" s="18"/>
    </row>
    <row r="638">
      <c r="I638" s="18"/>
    </row>
    <row r="639">
      <c r="I639" s="18"/>
    </row>
    <row r="640">
      <c r="I640" s="18"/>
    </row>
    <row r="641">
      <c r="I641" s="18"/>
    </row>
    <row r="642">
      <c r="I642" s="18"/>
    </row>
    <row r="643">
      <c r="I643" s="18"/>
    </row>
    <row r="644">
      <c r="I644" s="18"/>
    </row>
    <row r="645">
      <c r="I645" s="18"/>
    </row>
    <row r="646">
      <c r="I646" s="18"/>
    </row>
    <row r="647">
      <c r="I647" s="18"/>
    </row>
    <row r="648">
      <c r="I648" s="18"/>
    </row>
    <row r="649">
      <c r="I649" s="18"/>
    </row>
    <row r="650">
      <c r="I650" s="18"/>
    </row>
    <row r="651">
      <c r="I651" s="18"/>
    </row>
    <row r="652">
      <c r="I652" s="18"/>
    </row>
    <row r="653">
      <c r="I653" s="18"/>
    </row>
    <row r="654">
      <c r="I654" s="18"/>
    </row>
    <row r="655">
      <c r="I655" s="18"/>
    </row>
    <row r="656">
      <c r="I656" s="18"/>
    </row>
    <row r="657">
      <c r="I657" s="18"/>
    </row>
    <row r="658">
      <c r="I658" s="18"/>
    </row>
    <row r="659">
      <c r="I659" s="18"/>
    </row>
    <row r="660">
      <c r="I660" s="18"/>
    </row>
    <row r="661">
      <c r="I661" s="18"/>
    </row>
    <row r="662">
      <c r="I662" s="18"/>
    </row>
    <row r="663">
      <c r="I663" s="18"/>
    </row>
    <row r="664">
      <c r="I664" s="18"/>
    </row>
    <row r="665">
      <c r="I665" s="18"/>
    </row>
    <row r="666">
      <c r="I666" s="18"/>
    </row>
    <row r="667">
      <c r="I667" s="18"/>
    </row>
    <row r="668">
      <c r="I668" s="18"/>
    </row>
    <row r="669">
      <c r="I669" s="18"/>
    </row>
    <row r="670">
      <c r="I670" s="18"/>
    </row>
    <row r="671">
      <c r="I671" s="18"/>
    </row>
    <row r="672">
      <c r="I672" s="18"/>
    </row>
    <row r="673">
      <c r="I673" s="18"/>
    </row>
    <row r="674">
      <c r="I674" s="18"/>
    </row>
    <row r="675">
      <c r="I675" s="18"/>
    </row>
    <row r="676">
      <c r="I676" s="18"/>
    </row>
    <row r="677">
      <c r="I677" s="18"/>
    </row>
    <row r="678">
      <c r="I678" s="18"/>
    </row>
    <row r="679">
      <c r="I679" s="18"/>
    </row>
    <row r="680">
      <c r="I680" s="18"/>
    </row>
    <row r="681">
      <c r="I681" s="18"/>
    </row>
    <row r="682">
      <c r="I682" s="18"/>
    </row>
    <row r="683">
      <c r="I683" s="18"/>
    </row>
    <row r="684">
      <c r="I684" s="18"/>
    </row>
    <row r="685">
      <c r="I685" s="18"/>
    </row>
    <row r="686">
      <c r="I686" s="18"/>
    </row>
    <row r="687">
      <c r="I687" s="18"/>
    </row>
    <row r="688">
      <c r="I688" s="18"/>
    </row>
    <row r="689">
      <c r="I689" s="18"/>
    </row>
    <row r="690">
      <c r="I690" s="18"/>
    </row>
    <row r="691">
      <c r="I691" s="18"/>
    </row>
    <row r="692">
      <c r="I692" s="18"/>
    </row>
    <row r="693">
      <c r="I693" s="18"/>
    </row>
    <row r="694">
      <c r="I694" s="18"/>
    </row>
    <row r="695">
      <c r="I695" s="18"/>
    </row>
    <row r="696">
      <c r="I696" s="18"/>
    </row>
    <row r="697">
      <c r="I697" s="18"/>
    </row>
    <row r="698">
      <c r="I698" s="18"/>
    </row>
    <row r="699">
      <c r="I699" s="18"/>
    </row>
    <row r="700">
      <c r="I700" s="18"/>
    </row>
    <row r="701">
      <c r="I701" s="18"/>
    </row>
    <row r="702">
      <c r="I702" s="18"/>
    </row>
    <row r="703">
      <c r="I703" s="18"/>
    </row>
    <row r="704">
      <c r="I704" s="18"/>
    </row>
    <row r="705">
      <c r="I705" s="18"/>
    </row>
    <row r="706">
      <c r="I706" s="18"/>
    </row>
    <row r="707">
      <c r="I707" s="18"/>
    </row>
    <row r="708">
      <c r="I708" s="18"/>
    </row>
    <row r="709">
      <c r="I709" s="18"/>
    </row>
    <row r="710">
      <c r="I710" s="18"/>
    </row>
    <row r="711">
      <c r="I711" s="18"/>
    </row>
    <row r="712">
      <c r="I712" s="18"/>
    </row>
    <row r="713">
      <c r="I713" s="18"/>
    </row>
    <row r="714">
      <c r="I714" s="18"/>
    </row>
    <row r="715">
      <c r="I715" s="18"/>
    </row>
    <row r="716">
      <c r="I716" s="18"/>
    </row>
    <row r="717">
      <c r="I717" s="18"/>
    </row>
    <row r="718">
      <c r="I718" s="18"/>
    </row>
    <row r="719">
      <c r="I719" s="18"/>
    </row>
    <row r="720">
      <c r="I720" s="18"/>
    </row>
    <row r="721">
      <c r="I721" s="18"/>
    </row>
    <row r="722">
      <c r="I722" s="18"/>
    </row>
    <row r="723">
      <c r="I723" s="18"/>
    </row>
    <row r="724">
      <c r="I724" s="18"/>
    </row>
    <row r="725">
      <c r="I725" s="18"/>
    </row>
    <row r="726">
      <c r="I726" s="18"/>
    </row>
    <row r="727">
      <c r="I727" s="18"/>
    </row>
    <row r="728">
      <c r="I728" s="18"/>
    </row>
    <row r="729">
      <c r="I729" s="18"/>
    </row>
    <row r="730">
      <c r="I730" s="18"/>
    </row>
    <row r="731">
      <c r="I731" s="18"/>
    </row>
    <row r="732">
      <c r="I732" s="18"/>
    </row>
    <row r="733">
      <c r="I733" s="18"/>
    </row>
    <row r="734">
      <c r="I734" s="18"/>
    </row>
    <row r="735">
      <c r="I735" s="18"/>
    </row>
    <row r="736">
      <c r="I736" s="18"/>
    </row>
    <row r="737">
      <c r="I737" s="18"/>
    </row>
    <row r="738">
      <c r="I738" s="18"/>
    </row>
    <row r="739">
      <c r="I739" s="18"/>
    </row>
    <row r="740">
      <c r="I740" s="18"/>
    </row>
    <row r="741">
      <c r="I741" s="18"/>
    </row>
    <row r="742">
      <c r="I742" s="18"/>
    </row>
    <row r="743">
      <c r="I743" s="18"/>
    </row>
    <row r="744">
      <c r="I744" s="18"/>
    </row>
    <row r="745">
      <c r="I745" s="18"/>
    </row>
    <row r="746">
      <c r="I746" s="18"/>
    </row>
    <row r="747">
      <c r="I747" s="18"/>
    </row>
    <row r="748">
      <c r="I748" s="18"/>
    </row>
    <row r="749">
      <c r="I749" s="18"/>
    </row>
    <row r="750">
      <c r="I750" s="18"/>
    </row>
    <row r="751">
      <c r="I751" s="18"/>
    </row>
    <row r="752">
      <c r="I752" s="18"/>
    </row>
    <row r="753">
      <c r="I753" s="18"/>
    </row>
    <row r="754">
      <c r="I754" s="18"/>
    </row>
    <row r="755">
      <c r="I755" s="18"/>
    </row>
    <row r="756">
      <c r="I756" s="18"/>
    </row>
    <row r="757">
      <c r="I757" s="18"/>
    </row>
    <row r="758">
      <c r="I758" s="18"/>
    </row>
    <row r="759">
      <c r="I759" s="18"/>
    </row>
    <row r="760">
      <c r="I760" s="18"/>
    </row>
    <row r="761">
      <c r="I761" s="18"/>
    </row>
    <row r="762">
      <c r="I762" s="18"/>
    </row>
    <row r="763">
      <c r="I763" s="18"/>
    </row>
    <row r="764">
      <c r="I764" s="18"/>
    </row>
    <row r="765">
      <c r="I765" s="18"/>
    </row>
    <row r="766">
      <c r="I766" s="18"/>
    </row>
    <row r="767">
      <c r="I767" s="18"/>
    </row>
    <row r="768">
      <c r="I768" s="18"/>
    </row>
    <row r="769">
      <c r="I769" s="18"/>
    </row>
    <row r="770">
      <c r="I770" s="18"/>
    </row>
    <row r="771">
      <c r="I771" s="18"/>
    </row>
    <row r="772">
      <c r="I772" s="18"/>
    </row>
    <row r="773">
      <c r="I773" s="18"/>
    </row>
    <row r="774">
      <c r="I774" s="18"/>
    </row>
    <row r="775">
      <c r="I775" s="18"/>
    </row>
    <row r="776">
      <c r="I776" s="18"/>
    </row>
    <row r="777">
      <c r="I777" s="18"/>
    </row>
    <row r="778">
      <c r="I778" s="18"/>
    </row>
    <row r="779">
      <c r="I779" s="18"/>
    </row>
    <row r="780">
      <c r="I780" s="18"/>
    </row>
    <row r="781">
      <c r="I781" s="18"/>
    </row>
    <row r="782">
      <c r="I782" s="18"/>
    </row>
    <row r="783">
      <c r="I783" s="18"/>
    </row>
    <row r="784">
      <c r="I784" s="18"/>
    </row>
    <row r="785">
      <c r="I785" s="18"/>
    </row>
    <row r="786">
      <c r="I786" s="18"/>
    </row>
    <row r="787">
      <c r="I787" s="18"/>
    </row>
    <row r="788">
      <c r="I788" s="18"/>
    </row>
    <row r="789">
      <c r="I789" s="18"/>
    </row>
    <row r="790">
      <c r="I790" s="18"/>
    </row>
    <row r="791">
      <c r="I791" s="18"/>
    </row>
    <row r="792">
      <c r="I792" s="18"/>
    </row>
    <row r="793">
      <c r="I793" s="18"/>
    </row>
    <row r="794">
      <c r="I794" s="18"/>
    </row>
    <row r="795">
      <c r="I795" s="18"/>
    </row>
    <row r="796">
      <c r="I796" s="18"/>
    </row>
    <row r="797">
      <c r="I797" s="18"/>
    </row>
    <row r="798">
      <c r="I798" s="18"/>
    </row>
    <row r="799">
      <c r="I799" s="18"/>
    </row>
    <row r="800">
      <c r="I800" s="18"/>
    </row>
    <row r="801">
      <c r="I801" s="18"/>
    </row>
    <row r="802">
      <c r="I802" s="18"/>
    </row>
    <row r="803">
      <c r="I803" s="18"/>
    </row>
    <row r="804">
      <c r="I804" s="18"/>
    </row>
    <row r="805">
      <c r="I805" s="18"/>
    </row>
    <row r="806">
      <c r="I806" s="18"/>
    </row>
    <row r="807">
      <c r="I807" s="18"/>
    </row>
    <row r="808">
      <c r="I808" s="18"/>
    </row>
    <row r="809">
      <c r="I809" s="18"/>
    </row>
    <row r="810">
      <c r="I810" s="18"/>
    </row>
    <row r="811">
      <c r="I811" s="18"/>
    </row>
    <row r="812">
      <c r="I812" s="18"/>
    </row>
    <row r="813">
      <c r="I813" s="18"/>
    </row>
    <row r="814">
      <c r="I814" s="18"/>
    </row>
    <row r="815">
      <c r="I815" s="18"/>
    </row>
    <row r="816">
      <c r="I816" s="18"/>
    </row>
    <row r="817">
      <c r="I817" s="18"/>
    </row>
    <row r="818">
      <c r="I818" s="18"/>
    </row>
    <row r="819">
      <c r="I819" s="18"/>
    </row>
    <row r="820">
      <c r="I820" s="18"/>
    </row>
    <row r="821">
      <c r="I821" s="18"/>
    </row>
    <row r="822">
      <c r="I822" s="18"/>
    </row>
    <row r="823">
      <c r="I823" s="18"/>
    </row>
    <row r="824">
      <c r="I824" s="18"/>
    </row>
    <row r="825">
      <c r="I825" s="18"/>
    </row>
    <row r="826">
      <c r="I826" s="18"/>
    </row>
    <row r="827">
      <c r="I827" s="18"/>
    </row>
    <row r="828">
      <c r="I828" s="18"/>
    </row>
    <row r="829">
      <c r="I829" s="18"/>
    </row>
    <row r="830">
      <c r="I830" s="18"/>
    </row>
    <row r="831">
      <c r="I831" s="18"/>
    </row>
    <row r="832">
      <c r="I832" s="18"/>
    </row>
    <row r="833">
      <c r="I833" s="18"/>
    </row>
    <row r="834">
      <c r="I834" s="18"/>
    </row>
    <row r="835">
      <c r="I835" s="18"/>
    </row>
    <row r="836">
      <c r="I836" s="18"/>
    </row>
    <row r="837">
      <c r="I837" s="18"/>
    </row>
    <row r="838">
      <c r="I838" s="18"/>
    </row>
    <row r="839">
      <c r="I839" s="18"/>
    </row>
    <row r="840">
      <c r="I840" s="18"/>
    </row>
    <row r="841">
      <c r="I841" s="18"/>
    </row>
    <row r="842">
      <c r="I842" s="18"/>
    </row>
    <row r="843">
      <c r="I843" s="18"/>
    </row>
    <row r="844">
      <c r="I844" s="18"/>
    </row>
    <row r="845">
      <c r="I845" s="18"/>
    </row>
    <row r="846">
      <c r="I846" s="18"/>
    </row>
    <row r="847">
      <c r="I847" s="18"/>
    </row>
    <row r="848">
      <c r="I848" s="18"/>
    </row>
    <row r="849">
      <c r="I849" s="18"/>
    </row>
    <row r="850">
      <c r="I850" s="18"/>
    </row>
    <row r="851">
      <c r="I851" s="18"/>
    </row>
    <row r="852">
      <c r="I852" s="18"/>
    </row>
    <row r="853">
      <c r="I853" s="18"/>
    </row>
    <row r="854">
      <c r="I854" s="18"/>
    </row>
    <row r="855">
      <c r="I855" s="18"/>
    </row>
    <row r="856">
      <c r="I856" s="18"/>
    </row>
    <row r="857">
      <c r="I857" s="18"/>
    </row>
    <row r="858">
      <c r="I858" s="18"/>
    </row>
    <row r="859">
      <c r="I859" s="18"/>
    </row>
    <row r="860">
      <c r="I860" s="18"/>
    </row>
    <row r="861">
      <c r="I861" s="18"/>
    </row>
    <row r="862">
      <c r="I862" s="18"/>
    </row>
    <row r="863">
      <c r="I863" s="18"/>
    </row>
    <row r="864">
      <c r="I864" s="18"/>
    </row>
    <row r="865">
      <c r="I865" s="18"/>
    </row>
    <row r="866">
      <c r="I866" s="18"/>
    </row>
    <row r="867">
      <c r="I867" s="18"/>
    </row>
    <row r="868">
      <c r="I868" s="18"/>
    </row>
    <row r="869">
      <c r="I869" s="18"/>
    </row>
    <row r="870">
      <c r="I870" s="18"/>
    </row>
    <row r="871">
      <c r="I871" s="18"/>
    </row>
    <row r="872">
      <c r="I872" s="18"/>
    </row>
    <row r="873">
      <c r="I873" s="18"/>
    </row>
    <row r="874">
      <c r="I874" s="18"/>
    </row>
    <row r="875">
      <c r="I875" s="18"/>
    </row>
    <row r="876">
      <c r="I876" s="18"/>
    </row>
    <row r="877">
      <c r="I877" s="18"/>
    </row>
    <row r="878">
      <c r="I878" s="18"/>
    </row>
    <row r="879">
      <c r="I879" s="18"/>
    </row>
    <row r="880">
      <c r="I880" s="18"/>
    </row>
    <row r="881">
      <c r="I881" s="18"/>
    </row>
    <row r="882">
      <c r="I882" s="18"/>
    </row>
    <row r="883">
      <c r="I883" s="18"/>
    </row>
    <row r="884">
      <c r="I884" s="18"/>
    </row>
    <row r="885">
      <c r="I885" s="18"/>
    </row>
    <row r="886">
      <c r="I886" s="18"/>
    </row>
    <row r="887">
      <c r="I887" s="18"/>
    </row>
    <row r="888">
      <c r="I888" s="18"/>
    </row>
    <row r="889">
      <c r="I889" s="18"/>
    </row>
    <row r="890">
      <c r="I890" s="18"/>
    </row>
    <row r="891">
      <c r="I891" s="18"/>
    </row>
    <row r="892">
      <c r="I892" s="18"/>
    </row>
    <row r="893">
      <c r="I893" s="18"/>
    </row>
    <row r="894">
      <c r="I894" s="18"/>
    </row>
    <row r="895">
      <c r="I895" s="18"/>
    </row>
    <row r="896">
      <c r="I896" s="18"/>
    </row>
    <row r="897">
      <c r="I897" s="18"/>
    </row>
    <row r="898">
      <c r="I898" s="18"/>
    </row>
    <row r="899">
      <c r="I899" s="18"/>
    </row>
    <row r="900">
      <c r="I900" s="18"/>
    </row>
    <row r="901">
      <c r="I901" s="18"/>
    </row>
    <row r="902">
      <c r="I902" s="18"/>
    </row>
    <row r="903">
      <c r="I903" s="18"/>
    </row>
    <row r="904">
      <c r="I904" s="18"/>
    </row>
    <row r="905">
      <c r="I905" s="18"/>
    </row>
    <row r="906">
      <c r="I906" s="18"/>
    </row>
    <row r="907">
      <c r="I907" s="18"/>
    </row>
    <row r="908">
      <c r="I908" s="18"/>
    </row>
    <row r="909">
      <c r="I909" s="18"/>
    </row>
    <row r="910">
      <c r="I910" s="18"/>
    </row>
    <row r="911">
      <c r="I911" s="18"/>
    </row>
    <row r="912">
      <c r="I912" s="18"/>
    </row>
    <row r="913">
      <c r="I913" s="18"/>
    </row>
    <row r="914">
      <c r="I914" s="18"/>
    </row>
    <row r="915">
      <c r="I915" s="18"/>
    </row>
    <row r="916">
      <c r="I916" s="18"/>
    </row>
    <row r="917">
      <c r="I917" s="18"/>
    </row>
    <row r="918">
      <c r="I918" s="18"/>
    </row>
    <row r="919">
      <c r="I919" s="18"/>
    </row>
    <row r="920">
      <c r="I920" s="18"/>
    </row>
    <row r="921">
      <c r="I921" s="18"/>
    </row>
    <row r="922">
      <c r="I922" s="18"/>
    </row>
    <row r="923">
      <c r="I923" s="18"/>
    </row>
    <row r="924">
      <c r="I924" s="18"/>
    </row>
    <row r="925">
      <c r="I925" s="18"/>
    </row>
    <row r="926">
      <c r="I926" s="18"/>
    </row>
    <row r="927">
      <c r="I927" s="18"/>
    </row>
    <row r="928">
      <c r="I928" s="18"/>
    </row>
    <row r="929">
      <c r="I929" s="18"/>
    </row>
    <row r="930">
      <c r="I930" s="18"/>
    </row>
    <row r="931">
      <c r="I931" s="18"/>
    </row>
    <row r="932">
      <c r="I932" s="18"/>
    </row>
    <row r="933">
      <c r="I933" s="18"/>
    </row>
    <row r="934">
      <c r="I934" s="18"/>
    </row>
    <row r="935">
      <c r="I935" s="18"/>
    </row>
    <row r="936">
      <c r="I936" s="18"/>
    </row>
    <row r="937">
      <c r="I937" s="18"/>
    </row>
    <row r="938">
      <c r="I938" s="18"/>
    </row>
    <row r="939">
      <c r="I939" s="18"/>
    </row>
    <row r="940">
      <c r="I940" s="18"/>
    </row>
    <row r="941">
      <c r="I941" s="18"/>
    </row>
    <row r="942">
      <c r="I942" s="18"/>
    </row>
    <row r="943">
      <c r="I943" s="18"/>
    </row>
    <row r="944">
      <c r="I944" s="18"/>
    </row>
    <row r="945">
      <c r="I945" s="18"/>
    </row>
    <row r="946">
      <c r="I946" s="18"/>
    </row>
    <row r="947">
      <c r="I947" s="18"/>
    </row>
    <row r="948">
      <c r="I948" s="18"/>
    </row>
    <row r="949">
      <c r="I949" s="18"/>
    </row>
    <row r="950">
      <c r="I950" s="18"/>
    </row>
    <row r="951">
      <c r="I951" s="18"/>
    </row>
    <row r="952">
      <c r="I952" s="18"/>
    </row>
    <row r="953">
      <c r="I953" s="18"/>
    </row>
    <row r="954">
      <c r="I954" s="18"/>
    </row>
    <row r="955">
      <c r="I955" s="18"/>
    </row>
    <row r="956">
      <c r="I956" s="18"/>
    </row>
    <row r="957">
      <c r="I957" s="18"/>
    </row>
    <row r="958">
      <c r="I958" s="18"/>
    </row>
    <row r="959">
      <c r="I959" s="18"/>
    </row>
    <row r="960">
      <c r="I960" s="18"/>
    </row>
    <row r="961">
      <c r="I961" s="18"/>
    </row>
    <row r="962">
      <c r="I962" s="18"/>
    </row>
    <row r="963">
      <c r="I963" s="18"/>
    </row>
    <row r="964">
      <c r="I964" s="18"/>
    </row>
    <row r="965">
      <c r="I965" s="18"/>
    </row>
    <row r="966">
      <c r="I966" s="18"/>
    </row>
    <row r="967">
      <c r="I967" s="18"/>
    </row>
    <row r="968">
      <c r="I968" s="18"/>
    </row>
    <row r="969">
      <c r="I969" s="18"/>
    </row>
    <row r="970">
      <c r="I970" s="18"/>
    </row>
    <row r="971">
      <c r="I971" s="18"/>
    </row>
    <row r="972">
      <c r="I972" s="18"/>
    </row>
    <row r="973">
      <c r="I973" s="18"/>
    </row>
    <row r="974">
      <c r="I974" s="18"/>
    </row>
    <row r="975">
      <c r="I975" s="18"/>
    </row>
    <row r="976">
      <c r="I976" s="18"/>
    </row>
    <row r="977">
      <c r="I977" s="18"/>
    </row>
    <row r="978">
      <c r="I978" s="18"/>
    </row>
    <row r="979">
      <c r="I979" s="18"/>
    </row>
    <row r="980">
      <c r="I980" s="18"/>
    </row>
    <row r="981">
      <c r="I981" s="18"/>
    </row>
    <row r="982">
      <c r="I982" s="18"/>
    </row>
    <row r="983">
      <c r="I983" s="18"/>
    </row>
    <row r="984">
      <c r="I984" s="18"/>
    </row>
    <row r="985">
      <c r="I985" s="18"/>
    </row>
    <row r="986">
      <c r="I986" s="18"/>
    </row>
    <row r="987">
      <c r="I987" s="18"/>
    </row>
    <row r="988">
      <c r="I988" s="18"/>
    </row>
    <row r="989">
      <c r="I989" s="18"/>
    </row>
    <row r="990">
      <c r="I990" s="18"/>
    </row>
    <row r="991">
      <c r="I991" s="18"/>
    </row>
    <row r="992">
      <c r="I992" s="18"/>
    </row>
    <row r="993">
      <c r="I993" s="18"/>
    </row>
    <row r="994">
      <c r="I994" s="18"/>
    </row>
    <row r="995">
      <c r="I995" s="18"/>
    </row>
    <row r="996">
      <c r="I996" s="18"/>
    </row>
    <row r="997">
      <c r="I997" s="18"/>
    </row>
    <row r="998">
      <c r="I998" s="18"/>
    </row>
    <row r="999">
      <c r="I999" s="18"/>
    </row>
    <row r="1000">
      <c r="I1000" s="18"/>
    </row>
  </sheetData>
  <mergeCells count="1">
    <mergeCell ref="B1:I2"/>
  </mergeCells>
  <dataValidations>
    <dataValidation type="list" allowBlank="1" sqref="I6:I31">
      <formula1>"Shutdown,Maintenance,Running,None"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3" max="3" width="16.88"/>
    <col customWidth="1" min="4" max="4" width="53.0"/>
    <col customWidth="1" min="5" max="5" width="27.5"/>
    <col customWidth="1" min="6" max="6" width="81.13"/>
    <col customWidth="1" min="7" max="7" width="22.63"/>
    <col customWidth="1" min="8" max="8" width="37.63"/>
    <col customWidth="1" min="9" max="9" width="12.25"/>
    <col customWidth="1" min="10" max="10" width="13.13"/>
    <col customWidth="1" min="11" max="11" width="12.75"/>
    <col customWidth="1" min="12" max="12" width="16.88"/>
    <col customWidth="1" min="13" max="13" width="20.63"/>
    <col customWidth="1" min="14" max="14" width="19.63"/>
    <col customWidth="1" min="15" max="15" width="20.88"/>
    <col customWidth="1" min="16" max="17" width="25.88"/>
    <col customWidth="1" min="18" max="18" width="17.5"/>
  </cols>
  <sheetData>
    <row r="1">
      <c r="A1" s="19" t="s">
        <v>10</v>
      </c>
      <c r="B1" s="1" t="s">
        <v>11</v>
      </c>
      <c r="P1" s="20"/>
    </row>
    <row r="2">
      <c r="P2" s="20"/>
    </row>
    <row r="3">
      <c r="B3" s="2"/>
      <c r="C3" s="2"/>
      <c r="D3" s="2"/>
      <c r="E3" s="21"/>
      <c r="F3" s="21"/>
      <c r="G3" s="2"/>
      <c r="H3" s="2"/>
      <c r="I3" s="2"/>
      <c r="J3" s="2"/>
      <c r="K3" s="2"/>
      <c r="L3" s="2"/>
      <c r="M3" s="2"/>
      <c r="N3" s="21"/>
      <c r="P3" s="20"/>
    </row>
    <row r="4">
      <c r="B4" s="2"/>
      <c r="C4" s="2"/>
      <c r="D4" s="2"/>
      <c r="E4" s="21"/>
      <c r="F4" s="21"/>
      <c r="G4" s="2"/>
      <c r="H4" s="2"/>
      <c r="I4" s="2"/>
      <c r="J4" s="2"/>
      <c r="K4" s="2"/>
      <c r="L4" s="2"/>
      <c r="M4" s="2"/>
      <c r="N4" s="21"/>
      <c r="P4" s="20"/>
    </row>
    <row r="5">
      <c r="B5" s="2"/>
      <c r="C5" s="2"/>
      <c r="D5" s="2"/>
      <c r="E5" s="21"/>
      <c r="F5" s="21"/>
      <c r="G5" s="2"/>
      <c r="H5" s="2"/>
      <c r="I5" s="2"/>
      <c r="J5" s="2"/>
      <c r="K5" s="2"/>
      <c r="L5" s="2"/>
      <c r="M5" s="2"/>
      <c r="N5" s="21"/>
      <c r="P5" s="20"/>
    </row>
    <row r="6">
      <c r="B6" s="2"/>
      <c r="C6" s="2"/>
      <c r="D6" s="2"/>
      <c r="E6" s="21"/>
      <c r="F6" s="21"/>
      <c r="G6" s="2"/>
      <c r="H6" s="2"/>
      <c r="I6" s="2"/>
      <c r="J6" s="2"/>
      <c r="K6" s="2"/>
      <c r="L6" s="2"/>
      <c r="M6" s="2"/>
      <c r="N6" s="21"/>
      <c r="P6" s="20"/>
    </row>
    <row r="7">
      <c r="B7" s="2"/>
      <c r="C7" s="2"/>
      <c r="D7" s="2"/>
      <c r="E7" s="21"/>
      <c r="F7" s="21"/>
      <c r="G7" s="2"/>
      <c r="H7" s="2"/>
      <c r="I7" s="2"/>
      <c r="J7" s="2"/>
      <c r="K7" s="2"/>
      <c r="L7" s="22"/>
      <c r="M7" s="22"/>
      <c r="N7" s="21"/>
      <c r="P7" s="20"/>
    </row>
    <row r="8">
      <c r="B8" s="2"/>
      <c r="C8" s="2"/>
      <c r="D8" s="2"/>
      <c r="E8" s="21"/>
      <c r="F8" s="21"/>
      <c r="G8" s="2"/>
      <c r="H8" s="2"/>
      <c r="I8" s="2"/>
      <c r="J8" s="2"/>
      <c r="K8" s="2"/>
      <c r="L8" s="2"/>
      <c r="M8" s="2"/>
      <c r="N8" s="21"/>
      <c r="P8" s="20"/>
    </row>
    <row r="9">
      <c r="B9" s="2"/>
      <c r="C9" s="2"/>
      <c r="D9" s="2"/>
      <c r="E9" s="21"/>
      <c r="F9" s="21"/>
      <c r="G9" s="2"/>
      <c r="H9" s="2"/>
      <c r="I9" s="2"/>
      <c r="J9" s="2"/>
      <c r="K9" s="2"/>
      <c r="L9" s="2"/>
      <c r="M9" s="2"/>
      <c r="N9" s="21"/>
      <c r="P9" s="20"/>
    </row>
    <row r="10">
      <c r="B10" s="2"/>
      <c r="C10" s="2"/>
      <c r="D10" s="2"/>
      <c r="E10" s="21"/>
      <c r="F10" s="21"/>
      <c r="G10" s="2"/>
      <c r="H10" s="2"/>
      <c r="I10" s="2"/>
      <c r="J10" s="2"/>
      <c r="K10" s="2"/>
      <c r="L10" s="2"/>
      <c r="M10" s="2"/>
      <c r="N10" s="21"/>
      <c r="P10" s="20"/>
    </row>
    <row r="11">
      <c r="B11" s="2"/>
      <c r="C11" s="2"/>
      <c r="D11" s="2"/>
      <c r="E11" s="21"/>
      <c r="F11" s="21"/>
      <c r="G11" s="2"/>
      <c r="H11" s="2"/>
      <c r="I11" s="2"/>
      <c r="J11" s="2"/>
      <c r="K11" s="2"/>
      <c r="L11" s="22"/>
      <c r="M11" s="22"/>
      <c r="N11" s="21"/>
      <c r="P11" s="20"/>
    </row>
    <row r="12">
      <c r="B12" s="2"/>
      <c r="C12" s="2"/>
      <c r="D12" s="2"/>
      <c r="E12" s="21"/>
      <c r="F12" s="21"/>
      <c r="G12" s="2"/>
      <c r="H12" s="2"/>
      <c r="I12" s="2"/>
      <c r="J12" s="2"/>
      <c r="K12" s="2"/>
      <c r="L12" s="2"/>
      <c r="M12" s="2"/>
      <c r="N12" s="21"/>
      <c r="P12" s="20"/>
    </row>
    <row r="13">
      <c r="B13" s="2"/>
      <c r="C13" s="2"/>
      <c r="D13" s="2"/>
      <c r="E13" s="21"/>
      <c r="F13" s="21"/>
      <c r="G13" s="2"/>
      <c r="H13" s="2"/>
      <c r="I13" s="2"/>
      <c r="J13" s="2"/>
      <c r="K13" s="2"/>
      <c r="L13" s="2"/>
      <c r="M13" s="2"/>
      <c r="N13" s="21"/>
      <c r="P13" s="20"/>
    </row>
    <row r="14">
      <c r="B14" s="2"/>
      <c r="C14" s="2"/>
      <c r="D14" s="2"/>
      <c r="E14" s="21"/>
      <c r="F14" s="21"/>
      <c r="G14" s="2"/>
      <c r="H14" s="2"/>
      <c r="I14" s="2"/>
      <c r="J14" s="2"/>
      <c r="K14" s="2"/>
      <c r="L14" s="22"/>
      <c r="M14" s="22"/>
      <c r="N14" s="21"/>
      <c r="P14" s="20"/>
    </row>
    <row r="15">
      <c r="B15" s="2"/>
      <c r="C15" s="2"/>
      <c r="D15" s="2"/>
      <c r="E15" s="21"/>
      <c r="F15" s="21"/>
      <c r="G15" s="2"/>
      <c r="H15" s="2"/>
      <c r="I15" s="2"/>
      <c r="J15" s="2"/>
      <c r="K15" s="2"/>
      <c r="L15" s="2"/>
      <c r="M15" s="2"/>
      <c r="N15" s="21"/>
      <c r="P15" s="20"/>
    </row>
    <row r="16">
      <c r="B16" s="2"/>
      <c r="C16" s="2"/>
      <c r="D16" s="2"/>
      <c r="E16" s="21"/>
      <c r="F16" s="21"/>
      <c r="G16" s="2"/>
      <c r="H16" s="2"/>
      <c r="I16" s="2"/>
      <c r="J16" s="2"/>
      <c r="K16" s="2"/>
      <c r="L16" s="2"/>
      <c r="M16" s="2"/>
      <c r="N16" s="21"/>
      <c r="P16" s="20"/>
    </row>
    <row r="17">
      <c r="B17" s="3"/>
      <c r="C17" s="3"/>
      <c r="D17" s="3"/>
      <c r="E17" s="23"/>
      <c r="F17" s="23"/>
      <c r="G17" s="3"/>
      <c r="H17" s="3"/>
      <c r="I17" s="3"/>
      <c r="J17" s="3"/>
      <c r="K17" s="3"/>
      <c r="L17" s="3"/>
      <c r="M17" s="3"/>
      <c r="N17" s="23"/>
      <c r="P17" s="20"/>
    </row>
    <row r="18">
      <c r="B18" s="4" t="s">
        <v>1</v>
      </c>
      <c r="C18" s="5" t="s">
        <v>2</v>
      </c>
      <c r="D18" s="5" t="s">
        <v>12</v>
      </c>
      <c r="E18" s="24" t="s">
        <v>13</v>
      </c>
      <c r="F18" s="24" t="s">
        <v>14</v>
      </c>
      <c r="G18" s="5" t="s">
        <v>15</v>
      </c>
      <c r="H18" s="5" t="s">
        <v>16</v>
      </c>
      <c r="I18" s="5" t="s">
        <v>17</v>
      </c>
      <c r="J18" s="5" t="s">
        <v>8</v>
      </c>
      <c r="K18" s="5" t="s">
        <v>18</v>
      </c>
      <c r="L18" s="5" t="s">
        <v>19</v>
      </c>
      <c r="M18" s="5" t="s">
        <v>20</v>
      </c>
      <c r="N18" s="24" t="s">
        <v>21</v>
      </c>
      <c r="O18" s="25" t="s">
        <v>22</v>
      </c>
      <c r="P18" s="20"/>
    </row>
    <row r="19" hidden="1">
      <c r="B19" s="13">
        <v>1.0</v>
      </c>
      <c r="C19" s="26" t="s">
        <v>23</v>
      </c>
      <c r="D19" s="26" t="s">
        <v>24</v>
      </c>
      <c r="E19" s="27" t="s">
        <v>25</v>
      </c>
      <c r="F19" s="27" t="s">
        <v>26</v>
      </c>
      <c r="G19" s="28" t="s">
        <v>27</v>
      </c>
      <c r="H19" s="29" t="s">
        <v>28</v>
      </c>
      <c r="I19" s="30" t="s">
        <v>29</v>
      </c>
      <c r="J19" s="30" t="s">
        <v>30</v>
      </c>
      <c r="K19" s="28" t="s">
        <v>31</v>
      </c>
      <c r="L19" s="31" t="s">
        <v>32</v>
      </c>
      <c r="M19" s="30" t="s">
        <v>33</v>
      </c>
      <c r="N19" s="32" t="s">
        <v>34</v>
      </c>
      <c r="O19" s="33" t="s">
        <v>35</v>
      </c>
      <c r="P19" s="34"/>
      <c r="Q19" s="35" t="s">
        <v>17</v>
      </c>
      <c r="R19" s="36"/>
      <c r="T19" s="37"/>
      <c r="U19" s="37"/>
    </row>
    <row r="20" hidden="1">
      <c r="B20" s="10">
        <v>2.0</v>
      </c>
      <c r="C20" s="38" t="s">
        <v>23</v>
      </c>
      <c r="D20" s="39" t="s">
        <v>36</v>
      </c>
      <c r="E20" s="40" t="s">
        <v>37</v>
      </c>
      <c r="F20" s="40" t="s">
        <v>26</v>
      </c>
      <c r="G20" s="41" t="s">
        <v>27</v>
      </c>
      <c r="H20" s="42" t="s">
        <v>38</v>
      </c>
      <c r="I20" s="43" t="s">
        <v>29</v>
      </c>
      <c r="J20" s="43" t="s">
        <v>30</v>
      </c>
      <c r="K20" s="44" t="s">
        <v>31</v>
      </c>
      <c r="L20" s="45" t="s">
        <v>32</v>
      </c>
      <c r="M20" s="43" t="s">
        <v>33</v>
      </c>
      <c r="N20" s="46" t="s">
        <v>39</v>
      </c>
      <c r="O20" s="47" t="s">
        <v>35</v>
      </c>
      <c r="P20" s="34"/>
      <c r="Q20" s="48" t="s">
        <v>40</v>
      </c>
      <c r="R20" s="48" t="s">
        <v>41</v>
      </c>
      <c r="T20" s="37"/>
      <c r="U20" s="37"/>
    </row>
    <row r="21" hidden="1">
      <c r="B21" s="13">
        <v>3.0</v>
      </c>
      <c r="C21" s="26" t="s">
        <v>23</v>
      </c>
      <c r="D21" s="49" t="s">
        <v>42</v>
      </c>
      <c r="E21" s="27" t="s">
        <v>43</v>
      </c>
      <c r="F21" s="27" t="s">
        <v>26</v>
      </c>
      <c r="G21" s="28" t="s">
        <v>27</v>
      </c>
      <c r="H21" s="29" t="s">
        <v>38</v>
      </c>
      <c r="I21" s="30" t="s">
        <v>29</v>
      </c>
      <c r="J21" s="30" t="s">
        <v>30</v>
      </c>
      <c r="K21" s="50" t="s">
        <v>31</v>
      </c>
      <c r="L21" s="31" t="s">
        <v>44</v>
      </c>
      <c r="M21" s="30" t="s">
        <v>33</v>
      </c>
      <c r="N21" s="32" t="s">
        <v>45</v>
      </c>
      <c r="O21" s="33" t="s">
        <v>46</v>
      </c>
      <c r="P21" s="51"/>
      <c r="Q21" s="52" t="s">
        <v>47</v>
      </c>
      <c r="R21" s="53">
        <f>COUNTIF(Web[Severity],"Low")</f>
        <v>4</v>
      </c>
      <c r="T21" s="54"/>
      <c r="U21" s="55"/>
    </row>
    <row r="22" hidden="1">
      <c r="B22" s="10">
        <v>4.0</v>
      </c>
      <c r="C22" s="38" t="s">
        <v>23</v>
      </c>
      <c r="D22" s="39" t="s">
        <v>42</v>
      </c>
      <c r="E22" s="40" t="s">
        <v>48</v>
      </c>
      <c r="F22" s="40" t="s">
        <v>26</v>
      </c>
      <c r="G22" s="41" t="s">
        <v>27</v>
      </c>
      <c r="H22" s="42" t="s">
        <v>38</v>
      </c>
      <c r="I22" s="43" t="s">
        <v>29</v>
      </c>
      <c r="J22" s="43" t="s">
        <v>30</v>
      </c>
      <c r="K22" s="44" t="s">
        <v>31</v>
      </c>
      <c r="L22" s="45" t="s">
        <v>44</v>
      </c>
      <c r="M22" s="43" t="s">
        <v>33</v>
      </c>
      <c r="N22" s="46" t="s">
        <v>49</v>
      </c>
      <c r="O22" s="47" t="s">
        <v>46</v>
      </c>
      <c r="P22" s="51"/>
      <c r="Q22" s="52" t="s">
        <v>29</v>
      </c>
      <c r="R22" s="53">
        <f>COUNTIF(I:I,"Medium")</f>
        <v>84</v>
      </c>
      <c r="T22" s="54"/>
      <c r="U22" s="55"/>
    </row>
    <row r="23" hidden="1">
      <c r="B23" s="13">
        <v>5.0</v>
      </c>
      <c r="C23" s="26" t="s">
        <v>23</v>
      </c>
      <c r="D23" s="56" t="s">
        <v>42</v>
      </c>
      <c r="E23" s="27" t="s">
        <v>50</v>
      </c>
      <c r="F23" s="27" t="s">
        <v>26</v>
      </c>
      <c r="G23" s="28" t="s">
        <v>27</v>
      </c>
      <c r="H23" s="29" t="s">
        <v>38</v>
      </c>
      <c r="I23" s="30" t="s">
        <v>29</v>
      </c>
      <c r="J23" s="30" t="s">
        <v>30</v>
      </c>
      <c r="K23" s="50" t="s">
        <v>31</v>
      </c>
      <c r="L23" s="31" t="s">
        <v>44</v>
      </c>
      <c r="M23" s="30" t="s">
        <v>33</v>
      </c>
      <c r="N23" s="32" t="s">
        <v>51</v>
      </c>
      <c r="O23" s="33" t="s">
        <v>46</v>
      </c>
      <c r="P23" s="51"/>
      <c r="Q23" s="52" t="s">
        <v>52</v>
      </c>
      <c r="R23" s="53">
        <f>COUNTIF(I:I,"High")</f>
        <v>46</v>
      </c>
      <c r="T23" s="54"/>
      <c r="U23" s="55"/>
    </row>
    <row r="24" hidden="1">
      <c r="B24" s="10">
        <v>6.0</v>
      </c>
      <c r="C24" s="38" t="s">
        <v>23</v>
      </c>
      <c r="D24" s="39" t="s">
        <v>53</v>
      </c>
      <c r="E24" s="40" t="s">
        <v>54</v>
      </c>
      <c r="F24" s="40" t="s">
        <v>26</v>
      </c>
      <c r="G24" s="41" t="s">
        <v>27</v>
      </c>
      <c r="H24" s="42" t="s">
        <v>38</v>
      </c>
      <c r="I24" s="43" t="s">
        <v>29</v>
      </c>
      <c r="J24" s="43" t="s">
        <v>30</v>
      </c>
      <c r="K24" s="44" t="s">
        <v>31</v>
      </c>
      <c r="L24" s="45" t="s">
        <v>44</v>
      </c>
      <c r="M24" s="43" t="s">
        <v>33</v>
      </c>
      <c r="N24" s="46" t="s">
        <v>55</v>
      </c>
      <c r="O24" s="47" t="s">
        <v>46</v>
      </c>
      <c r="P24" s="51"/>
      <c r="Q24" s="52" t="s">
        <v>56</v>
      </c>
      <c r="R24" s="53">
        <f>COUNTIF(I:I,"Critical")</f>
        <v>153</v>
      </c>
      <c r="T24" s="54"/>
      <c r="U24" s="55"/>
    </row>
    <row r="25" hidden="1">
      <c r="B25" s="13">
        <v>7.0</v>
      </c>
      <c r="C25" s="26" t="s">
        <v>23</v>
      </c>
      <c r="D25" s="49" t="s">
        <v>53</v>
      </c>
      <c r="E25" s="27" t="s">
        <v>57</v>
      </c>
      <c r="F25" s="27" t="s">
        <v>26</v>
      </c>
      <c r="G25" s="28" t="s">
        <v>27</v>
      </c>
      <c r="H25" s="29" t="s">
        <v>38</v>
      </c>
      <c r="I25" s="30" t="s">
        <v>29</v>
      </c>
      <c r="J25" s="30" t="s">
        <v>30</v>
      </c>
      <c r="K25" s="50" t="s">
        <v>31</v>
      </c>
      <c r="L25" s="31" t="s">
        <v>44</v>
      </c>
      <c r="M25" s="30" t="s">
        <v>33</v>
      </c>
      <c r="N25" s="32" t="s">
        <v>58</v>
      </c>
      <c r="O25" s="33" t="s">
        <v>46</v>
      </c>
      <c r="P25" s="51"/>
      <c r="Q25" s="57" t="s">
        <v>59</v>
      </c>
      <c r="R25" s="53">
        <f>COUNTIF(I:I,"Recommendation")</f>
        <v>0</v>
      </c>
      <c r="T25" s="54"/>
      <c r="U25" s="55"/>
    </row>
    <row r="26" hidden="1">
      <c r="B26" s="10">
        <v>8.0</v>
      </c>
      <c r="C26" s="38" t="s">
        <v>23</v>
      </c>
      <c r="D26" s="58" t="s">
        <v>36</v>
      </c>
      <c r="E26" s="40" t="s">
        <v>60</v>
      </c>
      <c r="F26" s="40" t="s">
        <v>26</v>
      </c>
      <c r="G26" s="41" t="s">
        <v>27</v>
      </c>
      <c r="H26" s="42" t="s">
        <v>38</v>
      </c>
      <c r="I26" s="43" t="s">
        <v>29</v>
      </c>
      <c r="J26" s="43" t="s">
        <v>30</v>
      </c>
      <c r="K26" s="44" t="s">
        <v>31</v>
      </c>
      <c r="L26" s="45" t="s">
        <v>44</v>
      </c>
      <c r="M26" s="43" t="s">
        <v>33</v>
      </c>
      <c r="N26" s="46" t="s">
        <v>61</v>
      </c>
      <c r="O26" s="47" t="s">
        <v>46</v>
      </c>
      <c r="P26" s="51"/>
      <c r="Q26" s="52" t="s">
        <v>41</v>
      </c>
      <c r="R26" s="53">
        <f>sum(R21:R24)</f>
        <v>287</v>
      </c>
      <c r="T26" s="54"/>
      <c r="U26" s="55"/>
    </row>
    <row r="27" hidden="1">
      <c r="B27" s="13">
        <v>9.0</v>
      </c>
      <c r="C27" s="26" t="s">
        <v>23</v>
      </c>
      <c r="D27" s="26" t="s">
        <v>24</v>
      </c>
      <c r="E27" s="27" t="s">
        <v>25</v>
      </c>
      <c r="F27" s="27" t="s">
        <v>62</v>
      </c>
      <c r="G27" s="28" t="s">
        <v>63</v>
      </c>
      <c r="H27" s="29" t="s">
        <v>64</v>
      </c>
      <c r="I27" s="30" t="s">
        <v>56</v>
      </c>
      <c r="J27" s="30" t="s">
        <v>30</v>
      </c>
      <c r="K27" s="50" t="s">
        <v>31</v>
      </c>
      <c r="L27" s="31" t="s">
        <v>32</v>
      </c>
      <c r="M27" s="30" t="s">
        <v>33</v>
      </c>
      <c r="N27" s="32" t="s">
        <v>65</v>
      </c>
      <c r="O27" s="33" t="s">
        <v>35</v>
      </c>
      <c r="P27" s="20"/>
    </row>
    <row r="28" hidden="1">
      <c r="B28" s="10">
        <v>10.0</v>
      </c>
      <c r="C28" s="38" t="s">
        <v>23</v>
      </c>
      <c r="D28" s="38" t="s">
        <v>66</v>
      </c>
      <c r="E28" s="40" t="s">
        <v>67</v>
      </c>
      <c r="F28" s="40" t="s">
        <v>68</v>
      </c>
      <c r="G28" s="41" t="s">
        <v>69</v>
      </c>
      <c r="H28" s="42" t="s">
        <v>70</v>
      </c>
      <c r="I28" s="43" t="s">
        <v>52</v>
      </c>
      <c r="J28" s="43" t="s">
        <v>30</v>
      </c>
      <c r="K28" s="44" t="s">
        <v>31</v>
      </c>
      <c r="L28" s="45" t="s">
        <v>32</v>
      </c>
      <c r="M28" s="43" t="s">
        <v>33</v>
      </c>
      <c r="N28" s="46" t="s">
        <v>71</v>
      </c>
      <c r="O28" s="47" t="s">
        <v>35</v>
      </c>
      <c r="P28" s="34"/>
      <c r="Q28" s="35" t="s">
        <v>8</v>
      </c>
      <c r="R28" s="36"/>
    </row>
    <row r="29" hidden="1">
      <c r="B29" s="13">
        <v>11.0</v>
      </c>
      <c r="C29" s="26" t="s">
        <v>23</v>
      </c>
      <c r="D29" s="26" t="s">
        <v>72</v>
      </c>
      <c r="E29" s="27" t="s">
        <v>73</v>
      </c>
      <c r="F29" s="27" t="s">
        <v>68</v>
      </c>
      <c r="G29" s="28" t="s">
        <v>69</v>
      </c>
      <c r="H29" s="29" t="s">
        <v>70</v>
      </c>
      <c r="I29" s="30" t="s">
        <v>52</v>
      </c>
      <c r="J29" s="30" t="s">
        <v>30</v>
      </c>
      <c r="K29" s="50" t="s">
        <v>31</v>
      </c>
      <c r="L29" s="31" t="s">
        <v>32</v>
      </c>
      <c r="M29" s="30" t="s">
        <v>33</v>
      </c>
      <c r="N29" s="32" t="s">
        <v>74</v>
      </c>
      <c r="O29" s="33" t="s">
        <v>35</v>
      </c>
      <c r="P29" s="34"/>
      <c r="Q29" s="48" t="s">
        <v>40</v>
      </c>
      <c r="R29" s="48" t="s">
        <v>41</v>
      </c>
    </row>
    <row r="30" hidden="1">
      <c r="B30" s="10">
        <v>12.0</v>
      </c>
      <c r="C30" s="38" t="s">
        <v>23</v>
      </c>
      <c r="D30" s="39" t="s">
        <v>75</v>
      </c>
      <c r="E30" s="40" t="s">
        <v>73</v>
      </c>
      <c r="F30" s="40" t="s">
        <v>68</v>
      </c>
      <c r="G30" s="41" t="s">
        <v>69</v>
      </c>
      <c r="H30" s="42" t="s">
        <v>70</v>
      </c>
      <c r="I30" s="43" t="s">
        <v>52</v>
      </c>
      <c r="J30" s="43" t="s">
        <v>30</v>
      </c>
      <c r="K30" s="44" t="s">
        <v>31</v>
      </c>
      <c r="L30" s="45" t="s">
        <v>44</v>
      </c>
      <c r="M30" s="43" t="s">
        <v>33</v>
      </c>
      <c r="N30" s="46" t="s">
        <v>76</v>
      </c>
      <c r="O30" s="47" t="s">
        <v>46</v>
      </c>
      <c r="P30" s="51"/>
      <c r="Q30" s="52" t="s">
        <v>77</v>
      </c>
      <c r="R30" s="53">
        <f>COUNTIF(J:J,"New")</f>
        <v>217</v>
      </c>
    </row>
    <row r="31" hidden="1">
      <c r="B31" s="13">
        <v>13.0</v>
      </c>
      <c r="C31" s="26" t="s">
        <v>23</v>
      </c>
      <c r="D31" s="59" t="s">
        <v>78</v>
      </c>
      <c r="E31" s="27" t="s">
        <v>73</v>
      </c>
      <c r="F31" s="27" t="s">
        <v>68</v>
      </c>
      <c r="G31" s="28" t="s">
        <v>69</v>
      </c>
      <c r="H31" s="29" t="s">
        <v>70</v>
      </c>
      <c r="I31" s="30" t="s">
        <v>52</v>
      </c>
      <c r="J31" s="30" t="s">
        <v>30</v>
      </c>
      <c r="K31" s="50" t="s">
        <v>31</v>
      </c>
      <c r="L31" s="31" t="s">
        <v>44</v>
      </c>
      <c r="M31" s="30" t="s">
        <v>33</v>
      </c>
      <c r="N31" s="32" t="s">
        <v>79</v>
      </c>
      <c r="O31" s="33" t="s">
        <v>46</v>
      </c>
      <c r="P31" s="51"/>
      <c r="Q31" s="52" t="s">
        <v>80</v>
      </c>
      <c r="R31" s="53">
        <f>COUNTIF(J:J,"No Fix")</f>
        <v>1</v>
      </c>
    </row>
    <row r="32" hidden="1">
      <c r="B32" s="10">
        <v>14.0</v>
      </c>
      <c r="C32" s="38" t="s">
        <v>23</v>
      </c>
      <c r="D32" s="58" t="s">
        <v>81</v>
      </c>
      <c r="E32" s="40" t="s">
        <v>73</v>
      </c>
      <c r="F32" s="40" t="s">
        <v>68</v>
      </c>
      <c r="G32" s="41" t="s">
        <v>69</v>
      </c>
      <c r="H32" s="42" t="s">
        <v>70</v>
      </c>
      <c r="I32" s="43" t="s">
        <v>52</v>
      </c>
      <c r="J32" s="43" t="s">
        <v>30</v>
      </c>
      <c r="K32" s="44" t="s">
        <v>31</v>
      </c>
      <c r="L32" s="45" t="s">
        <v>44</v>
      </c>
      <c r="M32" s="43" t="s">
        <v>33</v>
      </c>
      <c r="N32" s="46" t="s">
        <v>79</v>
      </c>
      <c r="O32" s="47" t="s">
        <v>46</v>
      </c>
      <c r="P32" s="51"/>
      <c r="Q32" s="52" t="s">
        <v>82</v>
      </c>
      <c r="R32" s="53">
        <f>COUNTIF(J:J,"Retesting")</f>
        <v>0</v>
      </c>
    </row>
    <row r="33" hidden="1">
      <c r="B33" s="13">
        <v>15.0</v>
      </c>
      <c r="C33" s="26" t="s">
        <v>23</v>
      </c>
      <c r="D33" s="26" t="s">
        <v>83</v>
      </c>
      <c r="E33" s="27" t="s">
        <v>84</v>
      </c>
      <c r="F33" s="27" t="s">
        <v>68</v>
      </c>
      <c r="G33" s="28" t="s">
        <v>69</v>
      </c>
      <c r="H33" s="29" t="s">
        <v>70</v>
      </c>
      <c r="I33" s="30" t="s">
        <v>52</v>
      </c>
      <c r="J33" s="30" t="s">
        <v>30</v>
      </c>
      <c r="K33" s="50" t="s">
        <v>31</v>
      </c>
      <c r="L33" s="31" t="s">
        <v>32</v>
      </c>
      <c r="M33" s="30" t="s">
        <v>33</v>
      </c>
      <c r="N33" s="32" t="s">
        <v>85</v>
      </c>
      <c r="O33" s="33" t="s">
        <v>35</v>
      </c>
      <c r="P33" s="51"/>
      <c r="Q33" s="52" t="s">
        <v>30</v>
      </c>
      <c r="R33" s="53">
        <f>COUNTIF(J:J,"Resolved")</f>
        <v>69</v>
      </c>
    </row>
    <row r="34" hidden="1">
      <c r="B34" s="10">
        <v>16.0</v>
      </c>
      <c r="C34" s="38" t="s">
        <v>23</v>
      </c>
      <c r="D34" s="38" t="s">
        <v>86</v>
      </c>
      <c r="E34" s="40" t="s">
        <v>67</v>
      </c>
      <c r="F34" s="40" t="s">
        <v>62</v>
      </c>
      <c r="G34" s="41" t="s">
        <v>63</v>
      </c>
      <c r="H34" s="42" t="s">
        <v>64</v>
      </c>
      <c r="I34" s="43" t="s">
        <v>56</v>
      </c>
      <c r="J34" s="43" t="s">
        <v>30</v>
      </c>
      <c r="K34" s="44" t="s">
        <v>31</v>
      </c>
      <c r="L34" s="45" t="s">
        <v>32</v>
      </c>
      <c r="M34" s="43" t="s">
        <v>33</v>
      </c>
      <c r="N34" s="46" t="s">
        <v>87</v>
      </c>
      <c r="O34" s="47" t="s">
        <v>35</v>
      </c>
      <c r="P34" s="51"/>
      <c r="Q34" s="52" t="s">
        <v>41</v>
      </c>
      <c r="R34" s="53">
        <f>sum(R30:R33)</f>
        <v>287</v>
      </c>
    </row>
    <row r="35" hidden="1">
      <c r="B35" s="13">
        <v>17.0</v>
      </c>
      <c r="C35" s="26" t="s">
        <v>23</v>
      </c>
      <c r="D35" s="26" t="s">
        <v>88</v>
      </c>
      <c r="E35" s="27" t="s">
        <v>73</v>
      </c>
      <c r="F35" s="27" t="s">
        <v>62</v>
      </c>
      <c r="G35" s="28" t="s">
        <v>63</v>
      </c>
      <c r="H35" s="29" t="s">
        <v>64</v>
      </c>
      <c r="I35" s="30" t="s">
        <v>56</v>
      </c>
      <c r="J35" s="30" t="s">
        <v>30</v>
      </c>
      <c r="K35" s="50" t="s">
        <v>31</v>
      </c>
      <c r="L35" s="31" t="s">
        <v>32</v>
      </c>
      <c r="M35" s="30" t="s">
        <v>33</v>
      </c>
      <c r="N35" s="32" t="s">
        <v>89</v>
      </c>
      <c r="O35" s="33" t="s">
        <v>35</v>
      </c>
      <c r="P35" s="51"/>
      <c r="Q35" s="54"/>
      <c r="R35" s="55"/>
    </row>
    <row r="36" hidden="1">
      <c r="B36" s="10">
        <v>18.0</v>
      </c>
      <c r="C36" s="38" t="s">
        <v>23</v>
      </c>
      <c r="D36" s="39" t="s">
        <v>53</v>
      </c>
      <c r="E36" s="40" t="s">
        <v>90</v>
      </c>
      <c r="F36" s="40" t="s">
        <v>91</v>
      </c>
      <c r="G36" s="41" t="s">
        <v>92</v>
      </c>
      <c r="H36" s="42" t="s">
        <v>93</v>
      </c>
      <c r="I36" s="43" t="s">
        <v>52</v>
      </c>
      <c r="J36" s="43" t="s">
        <v>30</v>
      </c>
      <c r="K36" s="44" t="s">
        <v>31</v>
      </c>
      <c r="L36" s="45" t="s">
        <v>44</v>
      </c>
      <c r="M36" s="43" t="s">
        <v>33</v>
      </c>
      <c r="N36" s="46" t="s">
        <v>94</v>
      </c>
      <c r="O36" s="47" t="s">
        <v>46</v>
      </c>
      <c r="P36" s="34"/>
      <c r="Q36" s="35" t="s">
        <v>95</v>
      </c>
      <c r="R36" s="36"/>
    </row>
    <row r="37" hidden="1">
      <c r="B37" s="13">
        <v>19.0</v>
      </c>
      <c r="C37" s="26" t="s">
        <v>23</v>
      </c>
      <c r="D37" s="49" t="s">
        <v>42</v>
      </c>
      <c r="E37" s="27" t="s">
        <v>96</v>
      </c>
      <c r="F37" s="27" t="s">
        <v>91</v>
      </c>
      <c r="G37" s="28" t="s">
        <v>92</v>
      </c>
      <c r="H37" s="29" t="s">
        <v>93</v>
      </c>
      <c r="I37" s="30" t="s">
        <v>52</v>
      </c>
      <c r="J37" s="30" t="s">
        <v>30</v>
      </c>
      <c r="K37" s="50" t="s">
        <v>31</v>
      </c>
      <c r="L37" s="31" t="s">
        <v>44</v>
      </c>
      <c r="M37" s="30" t="s">
        <v>33</v>
      </c>
      <c r="N37" s="32" t="s">
        <v>97</v>
      </c>
      <c r="O37" s="33" t="s">
        <v>46</v>
      </c>
      <c r="P37" s="34"/>
      <c r="Q37" s="60" t="s">
        <v>40</v>
      </c>
      <c r="R37" s="60" t="s">
        <v>41</v>
      </c>
    </row>
    <row r="38" hidden="1">
      <c r="B38" s="10">
        <v>20.0</v>
      </c>
      <c r="C38" s="38" t="s">
        <v>23</v>
      </c>
      <c r="D38" s="58" t="s">
        <v>98</v>
      </c>
      <c r="E38" s="61"/>
      <c r="F38" s="40" t="s">
        <v>99</v>
      </c>
      <c r="G38" s="41" t="s">
        <v>92</v>
      </c>
      <c r="H38" s="42" t="s">
        <v>100</v>
      </c>
      <c r="I38" s="43" t="s">
        <v>56</v>
      </c>
      <c r="J38" s="43" t="s">
        <v>30</v>
      </c>
      <c r="K38" s="44" t="s">
        <v>31</v>
      </c>
      <c r="L38" s="45" t="s">
        <v>32</v>
      </c>
      <c r="M38" s="43" t="s">
        <v>33</v>
      </c>
      <c r="N38" s="46" t="s">
        <v>101</v>
      </c>
      <c r="O38" s="47" t="s">
        <v>35</v>
      </c>
      <c r="P38" s="51"/>
      <c r="Q38" s="62" t="s">
        <v>27</v>
      </c>
      <c r="R38" s="53">
        <f>COUNTIF(G:G,"Improper")</f>
        <v>13</v>
      </c>
    </row>
    <row r="39" hidden="1">
      <c r="B39" s="13">
        <v>21.0</v>
      </c>
      <c r="C39" s="26" t="s">
        <v>23</v>
      </c>
      <c r="D39" s="56" t="s">
        <v>102</v>
      </c>
      <c r="E39" s="27" t="s">
        <v>103</v>
      </c>
      <c r="F39" s="27" t="s">
        <v>26</v>
      </c>
      <c r="G39" s="28" t="s">
        <v>27</v>
      </c>
      <c r="H39" s="29" t="s">
        <v>38</v>
      </c>
      <c r="I39" s="30" t="s">
        <v>29</v>
      </c>
      <c r="J39" s="30" t="s">
        <v>77</v>
      </c>
      <c r="K39" s="50" t="s">
        <v>31</v>
      </c>
      <c r="L39" s="31" t="s">
        <v>32</v>
      </c>
      <c r="M39" s="30" t="s">
        <v>33</v>
      </c>
      <c r="N39" s="32" t="s">
        <v>104</v>
      </c>
      <c r="O39" s="33" t="s">
        <v>35</v>
      </c>
      <c r="P39" s="51"/>
      <c r="Q39" s="62" t="s">
        <v>63</v>
      </c>
      <c r="R39" s="53">
        <f>COUNTIF(G:G,"Injection")</f>
        <v>153</v>
      </c>
    </row>
    <row r="40" hidden="1">
      <c r="B40" s="10">
        <v>22.0</v>
      </c>
      <c r="C40" s="38" t="s">
        <v>105</v>
      </c>
      <c r="D40" s="58" t="s">
        <v>106</v>
      </c>
      <c r="E40" s="61"/>
      <c r="F40" s="40" t="s">
        <v>68</v>
      </c>
      <c r="G40" s="41" t="s">
        <v>69</v>
      </c>
      <c r="H40" s="42" t="s">
        <v>107</v>
      </c>
      <c r="I40" s="43" t="s">
        <v>52</v>
      </c>
      <c r="J40" s="43" t="s">
        <v>77</v>
      </c>
      <c r="K40" s="41" t="s">
        <v>31</v>
      </c>
      <c r="L40" s="45" t="s">
        <v>32</v>
      </c>
      <c r="M40" s="43" t="s">
        <v>108</v>
      </c>
      <c r="N40" s="46" t="s">
        <v>109</v>
      </c>
      <c r="O40" s="47" t="s">
        <v>35</v>
      </c>
      <c r="P40" s="51"/>
      <c r="Q40" s="62" t="s">
        <v>69</v>
      </c>
      <c r="R40" s="53">
        <f>COUNTIF(G:G,"Sensitive Data Exspose")</f>
        <v>23</v>
      </c>
    </row>
    <row r="41" hidden="1">
      <c r="B41" s="13">
        <v>23.0</v>
      </c>
      <c r="C41" s="26" t="s">
        <v>110</v>
      </c>
      <c r="D41" s="56" t="s">
        <v>111</v>
      </c>
      <c r="E41" s="63"/>
      <c r="F41" s="27" t="s">
        <v>112</v>
      </c>
      <c r="G41" s="28" t="s">
        <v>113</v>
      </c>
      <c r="H41" s="29" t="s">
        <v>114</v>
      </c>
      <c r="I41" s="30" t="s">
        <v>29</v>
      </c>
      <c r="J41" s="30" t="s">
        <v>77</v>
      </c>
      <c r="K41" s="28" t="s">
        <v>31</v>
      </c>
      <c r="L41" s="31" t="s">
        <v>44</v>
      </c>
      <c r="M41" s="30" t="s">
        <v>108</v>
      </c>
      <c r="N41" s="32" t="s">
        <v>115</v>
      </c>
      <c r="O41" s="33" t="s">
        <v>46</v>
      </c>
      <c r="P41" s="51"/>
      <c r="Q41" s="62" t="s">
        <v>113</v>
      </c>
      <c r="R41" s="53">
        <f>COUNTIF(G:G,"Security Misconfiguration")</f>
        <v>42</v>
      </c>
    </row>
    <row r="42" hidden="1">
      <c r="B42" s="10">
        <v>24.0</v>
      </c>
      <c r="C42" s="38" t="s">
        <v>116</v>
      </c>
      <c r="D42" s="58" t="s">
        <v>117</v>
      </c>
      <c r="E42" s="61"/>
      <c r="F42" s="40" t="s">
        <v>118</v>
      </c>
      <c r="G42" s="41" t="s">
        <v>69</v>
      </c>
      <c r="H42" s="42" t="s">
        <v>100</v>
      </c>
      <c r="I42" s="43" t="s">
        <v>56</v>
      </c>
      <c r="J42" s="43" t="s">
        <v>30</v>
      </c>
      <c r="K42" s="41" t="s">
        <v>31</v>
      </c>
      <c r="L42" s="45" t="s">
        <v>32</v>
      </c>
      <c r="M42" s="43" t="s">
        <v>108</v>
      </c>
      <c r="N42" s="46" t="s">
        <v>119</v>
      </c>
      <c r="O42" s="47" t="s">
        <v>35</v>
      </c>
      <c r="P42" s="51"/>
      <c r="Q42" s="62" t="s">
        <v>120</v>
      </c>
      <c r="R42" s="53">
        <f>COUNTIF(G:G,"Broken Authentication")</f>
        <v>5</v>
      </c>
    </row>
    <row r="43" hidden="1">
      <c r="B43" s="13">
        <v>25.0</v>
      </c>
      <c r="C43" s="26" t="s">
        <v>121</v>
      </c>
      <c r="D43" s="56" t="s">
        <v>122</v>
      </c>
      <c r="E43" s="63"/>
      <c r="F43" s="27" t="s">
        <v>26</v>
      </c>
      <c r="G43" s="28" t="s">
        <v>27</v>
      </c>
      <c r="H43" s="29" t="s">
        <v>38</v>
      </c>
      <c r="I43" s="30" t="s">
        <v>29</v>
      </c>
      <c r="J43" s="30" t="s">
        <v>77</v>
      </c>
      <c r="K43" s="28" t="s">
        <v>31</v>
      </c>
      <c r="L43" s="31" t="s">
        <v>32</v>
      </c>
      <c r="M43" s="30" t="s">
        <v>108</v>
      </c>
      <c r="N43" s="32" t="s">
        <v>123</v>
      </c>
      <c r="O43" s="33" t="s">
        <v>35</v>
      </c>
      <c r="P43" s="51"/>
      <c r="Q43" s="62" t="s">
        <v>92</v>
      </c>
      <c r="R43" s="53">
        <f>COUNTIF(G:G,"Cross Site Scripting (XSS)")</f>
        <v>34</v>
      </c>
    </row>
    <row r="44" hidden="1">
      <c r="B44" s="10">
        <v>26.0</v>
      </c>
      <c r="C44" s="38" t="s">
        <v>121</v>
      </c>
      <c r="D44" s="64" t="s">
        <v>124</v>
      </c>
      <c r="E44" s="61"/>
      <c r="F44" s="40" t="s">
        <v>125</v>
      </c>
      <c r="G44" s="41" t="s">
        <v>113</v>
      </c>
      <c r="H44" s="42" t="s">
        <v>126</v>
      </c>
      <c r="I44" s="43" t="s">
        <v>29</v>
      </c>
      <c r="J44" s="43" t="s">
        <v>77</v>
      </c>
      <c r="K44" s="41" t="s">
        <v>31</v>
      </c>
      <c r="L44" s="45" t="s">
        <v>32</v>
      </c>
      <c r="M44" s="43" t="s">
        <v>108</v>
      </c>
      <c r="N44" s="42" t="s">
        <v>127</v>
      </c>
      <c r="O44" s="47" t="s">
        <v>35</v>
      </c>
      <c r="P44" s="51"/>
      <c r="Q44" s="62" t="s">
        <v>128</v>
      </c>
      <c r="R44" s="53">
        <f>COUNTIF(G:G,"XML External Entities (XXE)")</f>
        <v>0</v>
      </c>
    </row>
    <row r="45" hidden="1">
      <c r="B45" s="13">
        <v>27.0</v>
      </c>
      <c r="C45" s="26" t="s">
        <v>129</v>
      </c>
      <c r="D45" s="49" t="s">
        <v>130</v>
      </c>
      <c r="E45" s="63"/>
      <c r="F45" s="27" t="s">
        <v>125</v>
      </c>
      <c r="G45" s="28" t="s">
        <v>113</v>
      </c>
      <c r="H45" s="29" t="s">
        <v>126</v>
      </c>
      <c r="I45" s="30" t="s">
        <v>29</v>
      </c>
      <c r="J45" s="30" t="s">
        <v>77</v>
      </c>
      <c r="K45" s="28" t="s">
        <v>31</v>
      </c>
      <c r="L45" s="31" t="s">
        <v>44</v>
      </c>
      <c r="M45" s="30" t="s">
        <v>108</v>
      </c>
      <c r="N45" s="65">
        <v>45904.581655092596</v>
      </c>
      <c r="O45" s="33" t="s">
        <v>46</v>
      </c>
      <c r="P45" s="51"/>
      <c r="Q45" s="62" t="s">
        <v>131</v>
      </c>
      <c r="R45" s="53">
        <f>COUNTIF(G:G,"Broken Access Control")</f>
        <v>0</v>
      </c>
    </row>
    <row r="46" hidden="1">
      <c r="B46" s="10">
        <v>28.0</v>
      </c>
      <c r="C46" s="38" t="s">
        <v>132</v>
      </c>
      <c r="D46" s="58" t="s">
        <v>133</v>
      </c>
      <c r="E46" s="61"/>
      <c r="F46" s="40" t="s">
        <v>134</v>
      </c>
      <c r="G46" s="41" t="s">
        <v>113</v>
      </c>
      <c r="H46" s="42" t="s">
        <v>135</v>
      </c>
      <c r="I46" s="43" t="s">
        <v>52</v>
      </c>
      <c r="J46" s="43" t="s">
        <v>77</v>
      </c>
      <c r="K46" s="41" t="s">
        <v>31</v>
      </c>
      <c r="L46" s="45" t="s">
        <v>32</v>
      </c>
      <c r="M46" s="43" t="s">
        <v>108</v>
      </c>
      <c r="N46" s="66">
        <v>45904.472662037035</v>
      </c>
      <c r="O46" s="47" t="s">
        <v>35</v>
      </c>
      <c r="P46" s="51"/>
      <c r="Q46" s="62" t="s">
        <v>136</v>
      </c>
      <c r="R46" s="53">
        <f>COUNTIF(C:C,"Insecure Deserialization")</f>
        <v>0</v>
      </c>
    </row>
    <row r="47" hidden="1">
      <c r="B47" s="13">
        <v>29.0</v>
      </c>
      <c r="C47" s="26" t="s">
        <v>23</v>
      </c>
      <c r="D47" s="67" t="s">
        <v>137</v>
      </c>
      <c r="E47" s="63"/>
      <c r="F47" s="27" t="s">
        <v>125</v>
      </c>
      <c r="G47" s="28" t="s">
        <v>113</v>
      </c>
      <c r="H47" s="68" t="s">
        <v>138</v>
      </c>
      <c r="I47" s="30" t="s">
        <v>29</v>
      </c>
      <c r="J47" s="30" t="s">
        <v>77</v>
      </c>
      <c r="K47" s="28" t="s">
        <v>31</v>
      </c>
      <c r="L47" s="31" t="s">
        <v>44</v>
      </c>
      <c r="M47" s="30" t="s">
        <v>108</v>
      </c>
      <c r="N47" s="65">
        <v>45904.447800925926</v>
      </c>
      <c r="O47" s="33" t="s">
        <v>46</v>
      </c>
      <c r="P47" s="51"/>
      <c r="Q47" s="62"/>
      <c r="R47" s="53"/>
    </row>
    <row r="48" hidden="1">
      <c r="B48" s="10">
        <v>30.0</v>
      </c>
      <c r="C48" s="38" t="s">
        <v>139</v>
      </c>
      <c r="D48" s="39" t="s">
        <v>140</v>
      </c>
      <c r="E48" s="61"/>
      <c r="F48" s="40" t="s">
        <v>125</v>
      </c>
      <c r="G48" s="41" t="s">
        <v>113</v>
      </c>
      <c r="H48" s="69" t="s">
        <v>138</v>
      </c>
      <c r="I48" s="43" t="s">
        <v>29</v>
      </c>
      <c r="J48" s="43" t="s">
        <v>77</v>
      </c>
      <c r="K48" s="41" t="s">
        <v>31</v>
      </c>
      <c r="L48" s="45" t="s">
        <v>44</v>
      </c>
      <c r="M48" s="43" t="s">
        <v>108</v>
      </c>
      <c r="N48" s="66">
        <v>45904.58168981481</v>
      </c>
      <c r="O48" s="47" t="s">
        <v>46</v>
      </c>
      <c r="P48" s="51"/>
      <c r="Q48" s="70"/>
      <c r="R48" s="53"/>
    </row>
    <row r="49" hidden="1">
      <c r="B49" s="13">
        <v>31.0</v>
      </c>
      <c r="C49" s="29" t="s">
        <v>141</v>
      </c>
      <c r="D49" s="71" t="s">
        <v>142</v>
      </c>
      <c r="E49" s="72"/>
      <c r="F49" s="27" t="s">
        <v>26</v>
      </c>
      <c r="G49" s="28" t="s">
        <v>113</v>
      </c>
      <c r="H49" s="29" t="s">
        <v>135</v>
      </c>
      <c r="I49" s="30" t="s">
        <v>52</v>
      </c>
      <c r="J49" s="30" t="s">
        <v>77</v>
      </c>
      <c r="K49" s="28" t="s">
        <v>31</v>
      </c>
      <c r="L49" s="31" t="s">
        <v>44</v>
      </c>
      <c r="M49" s="30" t="s">
        <v>108</v>
      </c>
      <c r="N49" s="73">
        <v>45904.58188657407</v>
      </c>
      <c r="O49" s="33" t="s">
        <v>46</v>
      </c>
      <c r="P49" s="51"/>
      <c r="Q49" s="52"/>
      <c r="R49" s="53"/>
    </row>
    <row r="50" hidden="1">
      <c r="B50" s="10">
        <v>32.0</v>
      </c>
      <c r="C50" s="42" t="s">
        <v>143</v>
      </c>
      <c r="D50" s="74" t="s">
        <v>144</v>
      </c>
      <c r="E50" s="75"/>
      <c r="F50" s="40" t="s">
        <v>125</v>
      </c>
      <c r="G50" s="43" t="s">
        <v>113</v>
      </c>
      <c r="H50" s="69" t="s">
        <v>145</v>
      </c>
      <c r="I50" s="43" t="s">
        <v>29</v>
      </c>
      <c r="J50" s="43" t="s">
        <v>77</v>
      </c>
      <c r="K50" s="41" t="s">
        <v>31</v>
      </c>
      <c r="L50" s="45" t="s">
        <v>44</v>
      </c>
      <c r="M50" s="43" t="s">
        <v>108</v>
      </c>
      <c r="N50" s="66">
        <v>45904.44856481482</v>
      </c>
      <c r="O50" s="47" t="s">
        <v>46</v>
      </c>
      <c r="P50" s="51"/>
      <c r="Q50" s="52"/>
      <c r="R50" s="53"/>
    </row>
    <row r="51" hidden="1">
      <c r="B51" s="13">
        <v>33.0</v>
      </c>
      <c r="C51" s="26" t="s">
        <v>105</v>
      </c>
      <c r="D51" s="59" t="s">
        <v>146</v>
      </c>
      <c r="E51" s="63"/>
      <c r="F51" s="27" t="s">
        <v>125</v>
      </c>
      <c r="G51" s="30" t="s">
        <v>113</v>
      </c>
      <c r="H51" s="68" t="s">
        <v>145</v>
      </c>
      <c r="I51" s="30" t="s">
        <v>29</v>
      </c>
      <c r="J51" s="30" t="s">
        <v>77</v>
      </c>
      <c r="K51" s="28" t="s">
        <v>31</v>
      </c>
      <c r="L51" s="31" t="s">
        <v>44</v>
      </c>
      <c r="M51" s="30" t="s">
        <v>108</v>
      </c>
      <c r="N51" s="65">
        <v>45904.44878472222</v>
      </c>
      <c r="O51" s="33" t="s">
        <v>46</v>
      </c>
      <c r="P51" s="51"/>
      <c r="Q51" s="52"/>
      <c r="R51" s="53"/>
    </row>
    <row r="52" hidden="1">
      <c r="B52" s="10">
        <v>34.0</v>
      </c>
      <c r="C52" s="38" t="s">
        <v>141</v>
      </c>
      <c r="D52" s="58" t="s">
        <v>147</v>
      </c>
      <c r="E52" s="61"/>
      <c r="F52" s="40" t="s">
        <v>148</v>
      </c>
      <c r="G52" s="43" t="s">
        <v>113</v>
      </c>
      <c r="H52" s="42" t="s">
        <v>149</v>
      </c>
      <c r="I52" s="43" t="s">
        <v>29</v>
      </c>
      <c r="J52" s="43" t="s">
        <v>77</v>
      </c>
      <c r="K52" s="41" t="s">
        <v>31</v>
      </c>
      <c r="L52" s="45" t="s">
        <v>32</v>
      </c>
      <c r="M52" s="43" t="s">
        <v>108</v>
      </c>
      <c r="N52" s="66">
        <v>45904.41903935185</v>
      </c>
      <c r="O52" s="47" t="s">
        <v>35</v>
      </c>
      <c r="P52" s="51"/>
      <c r="Q52" s="52" t="s">
        <v>41</v>
      </c>
      <c r="R52" s="53">
        <f>SUM(R38:R51)</f>
        <v>270</v>
      </c>
    </row>
    <row r="53" hidden="1">
      <c r="B53" s="13">
        <v>35.0</v>
      </c>
      <c r="C53" s="29" t="s">
        <v>150</v>
      </c>
      <c r="D53" s="76" t="s">
        <v>151</v>
      </c>
      <c r="E53" s="72"/>
      <c r="F53" s="77" t="s">
        <v>134</v>
      </c>
      <c r="G53" s="30" t="s">
        <v>113</v>
      </c>
      <c r="H53" s="29" t="s">
        <v>135</v>
      </c>
      <c r="I53" s="30" t="s">
        <v>52</v>
      </c>
      <c r="J53" s="30" t="s">
        <v>30</v>
      </c>
      <c r="K53" s="28" t="s">
        <v>31</v>
      </c>
      <c r="L53" s="31" t="s">
        <v>44</v>
      </c>
      <c r="M53" s="30" t="s">
        <v>108</v>
      </c>
      <c r="N53" s="73">
        <v>45904.495092592595</v>
      </c>
      <c r="O53" s="33" t="s">
        <v>46</v>
      </c>
      <c r="P53" s="20"/>
      <c r="R53" s="55"/>
    </row>
    <row r="54" hidden="1">
      <c r="B54" s="10">
        <v>36.0</v>
      </c>
      <c r="C54" s="42" t="s">
        <v>152</v>
      </c>
      <c r="D54" s="74" t="s">
        <v>153</v>
      </c>
      <c r="E54" s="75"/>
      <c r="F54" s="78" t="s">
        <v>125</v>
      </c>
      <c r="G54" s="43" t="s">
        <v>113</v>
      </c>
      <c r="H54" s="69" t="s">
        <v>145</v>
      </c>
      <c r="I54" s="43" t="s">
        <v>29</v>
      </c>
      <c r="J54" s="43" t="s">
        <v>77</v>
      </c>
      <c r="K54" s="41" t="s">
        <v>31</v>
      </c>
      <c r="L54" s="45" t="s">
        <v>44</v>
      </c>
      <c r="M54" s="43" t="s">
        <v>108</v>
      </c>
      <c r="N54" s="66">
        <v>45904.44863425926</v>
      </c>
      <c r="O54" s="47" t="s">
        <v>46</v>
      </c>
      <c r="P54" s="34"/>
      <c r="Q54" s="35" t="s">
        <v>154</v>
      </c>
      <c r="R54" s="36"/>
      <c r="T54" s="35" t="s">
        <v>2</v>
      </c>
      <c r="U54" s="36"/>
    </row>
    <row r="55" hidden="1">
      <c r="B55" s="13">
        <v>37.0</v>
      </c>
      <c r="C55" s="26" t="s">
        <v>150</v>
      </c>
      <c r="D55" s="56" t="s">
        <v>151</v>
      </c>
      <c r="E55" s="63"/>
      <c r="F55" s="27" t="s">
        <v>148</v>
      </c>
      <c r="G55" s="30" t="s">
        <v>113</v>
      </c>
      <c r="H55" s="29" t="s">
        <v>149</v>
      </c>
      <c r="I55" s="30" t="s">
        <v>29</v>
      </c>
      <c r="J55" s="30" t="s">
        <v>30</v>
      </c>
      <c r="K55" s="28" t="s">
        <v>31</v>
      </c>
      <c r="L55" s="31" t="s">
        <v>44</v>
      </c>
      <c r="M55" s="30" t="s">
        <v>108</v>
      </c>
      <c r="N55" s="73">
        <v>45904.495104166665</v>
      </c>
      <c r="O55" s="33" t="s">
        <v>46</v>
      </c>
      <c r="P55" s="34"/>
      <c r="Q55" s="60" t="s">
        <v>40</v>
      </c>
      <c r="R55" s="60" t="s">
        <v>41</v>
      </c>
      <c r="T55" s="60" t="s">
        <v>40</v>
      </c>
      <c r="U55" s="60" t="s">
        <v>41</v>
      </c>
    </row>
    <row r="56" hidden="1">
      <c r="B56" s="10">
        <v>38.0</v>
      </c>
      <c r="C56" s="38" t="s">
        <v>105</v>
      </c>
      <c r="D56" s="58" t="s">
        <v>155</v>
      </c>
      <c r="E56" s="61"/>
      <c r="F56" s="40" t="s">
        <v>125</v>
      </c>
      <c r="G56" s="43" t="s">
        <v>113</v>
      </c>
      <c r="H56" s="69" t="s">
        <v>145</v>
      </c>
      <c r="I56" s="43" t="s">
        <v>29</v>
      </c>
      <c r="J56" s="43" t="s">
        <v>77</v>
      </c>
      <c r="K56" s="41" t="s">
        <v>31</v>
      </c>
      <c r="L56" s="45" t="s">
        <v>44</v>
      </c>
      <c r="M56" s="43" t="s">
        <v>108</v>
      </c>
      <c r="N56" s="66">
        <v>45904.448842592596</v>
      </c>
      <c r="O56" s="47" t="s">
        <v>46</v>
      </c>
      <c r="P56" s="51"/>
      <c r="Q56" s="62" t="s">
        <v>33</v>
      </c>
      <c r="R56" s="53">
        <f>COUNTIF(M:M,"WEEK 1")</f>
        <v>21</v>
      </c>
      <c r="T56" s="62" t="s">
        <v>156</v>
      </c>
      <c r="U56" s="53">
        <f>COUNTIF(C:C,"Tiket Gratis Admin")</f>
        <v>22</v>
      </c>
    </row>
    <row r="57" hidden="1">
      <c r="B57" s="13">
        <v>39.0</v>
      </c>
      <c r="C57" s="29" t="s">
        <v>157</v>
      </c>
      <c r="D57" s="71" t="s">
        <v>158</v>
      </c>
      <c r="E57" s="72"/>
      <c r="F57" s="27" t="s">
        <v>112</v>
      </c>
      <c r="G57" s="30" t="s">
        <v>113</v>
      </c>
      <c r="H57" s="29" t="s">
        <v>114</v>
      </c>
      <c r="I57" s="30" t="s">
        <v>29</v>
      </c>
      <c r="J57" s="30" t="s">
        <v>77</v>
      </c>
      <c r="K57" s="28" t="s">
        <v>31</v>
      </c>
      <c r="L57" s="31" t="s">
        <v>44</v>
      </c>
      <c r="M57" s="30" t="s">
        <v>108</v>
      </c>
      <c r="N57" s="65">
        <v>45904.58232638889</v>
      </c>
      <c r="O57" s="33" t="s">
        <v>46</v>
      </c>
      <c r="P57" s="51"/>
      <c r="Q57" s="62" t="s">
        <v>108</v>
      </c>
      <c r="R57" s="53">
        <f>COUNTIF(M:M,"WEEK 2")</f>
        <v>18</v>
      </c>
      <c r="T57" s="62" t="s">
        <v>110</v>
      </c>
      <c r="U57" s="53">
        <f>COUNTIF(C:C,"Sinar")</f>
        <v>1</v>
      </c>
    </row>
    <row r="58" hidden="1">
      <c r="B58" s="10">
        <v>40.0</v>
      </c>
      <c r="C58" s="42" t="s">
        <v>159</v>
      </c>
      <c r="D58" s="79" t="s">
        <v>160</v>
      </c>
      <c r="E58" s="75"/>
      <c r="F58" s="78" t="s">
        <v>161</v>
      </c>
      <c r="G58" s="43" t="s">
        <v>120</v>
      </c>
      <c r="H58" s="42" t="s">
        <v>107</v>
      </c>
      <c r="I58" s="43" t="s">
        <v>52</v>
      </c>
      <c r="J58" s="43" t="s">
        <v>30</v>
      </c>
      <c r="K58" s="41" t="s">
        <v>31</v>
      </c>
      <c r="L58" s="45" t="s">
        <v>32</v>
      </c>
      <c r="M58" s="43" t="s">
        <v>162</v>
      </c>
      <c r="N58" s="66">
        <v>45904.46517361111</v>
      </c>
      <c r="O58" s="47" t="s">
        <v>35</v>
      </c>
      <c r="P58" s="51"/>
      <c r="Q58" s="62" t="s">
        <v>162</v>
      </c>
      <c r="R58" s="53">
        <f>COUNTIF(M:M,"WEEK 3")</f>
        <v>18</v>
      </c>
      <c r="T58" s="62" t="s">
        <v>116</v>
      </c>
      <c r="U58" s="53">
        <f>COUNTIF(C:C,"Karir")</f>
        <v>20</v>
      </c>
    </row>
    <row r="59" hidden="1">
      <c r="B59" s="13">
        <v>41.0</v>
      </c>
      <c r="C59" s="26" t="s">
        <v>159</v>
      </c>
      <c r="D59" s="56" t="s">
        <v>160</v>
      </c>
      <c r="E59" s="63"/>
      <c r="F59" s="27" t="s">
        <v>163</v>
      </c>
      <c r="G59" s="30" t="s">
        <v>92</v>
      </c>
      <c r="H59" s="29" t="s">
        <v>38</v>
      </c>
      <c r="I59" s="30" t="s">
        <v>29</v>
      </c>
      <c r="J59" s="30" t="s">
        <v>30</v>
      </c>
      <c r="K59" s="28" t="s">
        <v>31</v>
      </c>
      <c r="L59" s="31" t="s">
        <v>32</v>
      </c>
      <c r="M59" s="30" t="s">
        <v>162</v>
      </c>
      <c r="N59" s="65">
        <v>45873.370034722226</v>
      </c>
      <c r="O59" s="33" t="s">
        <v>35</v>
      </c>
      <c r="P59" s="51"/>
      <c r="Q59" s="62" t="s">
        <v>164</v>
      </c>
      <c r="R59" s="53">
        <f>COUNTIF(M:M,"WEEK 4")</f>
        <v>19</v>
      </c>
      <c r="T59" s="62" t="s">
        <v>121</v>
      </c>
      <c r="U59" s="53">
        <f>COUNTIF(C:C,"Winona")</f>
        <v>3</v>
      </c>
    </row>
    <row r="60" hidden="1">
      <c r="B60" s="10">
        <v>42.0</v>
      </c>
      <c r="C60" s="38" t="s">
        <v>159</v>
      </c>
      <c r="D60" s="58" t="s">
        <v>160</v>
      </c>
      <c r="E60" s="40" t="s">
        <v>165</v>
      </c>
      <c r="F60" s="40" t="s">
        <v>166</v>
      </c>
      <c r="G60" s="43" t="s">
        <v>92</v>
      </c>
      <c r="H60" s="42" t="s">
        <v>38</v>
      </c>
      <c r="I60" s="43" t="s">
        <v>29</v>
      </c>
      <c r="J60" s="43" t="s">
        <v>30</v>
      </c>
      <c r="K60" s="41" t="s">
        <v>31</v>
      </c>
      <c r="L60" s="45" t="s">
        <v>32</v>
      </c>
      <c r="M60" s="43" t="s">
        <v>162</v>
      </c>
      <c r="N60" s="42" t="s">
        <v>167</v>
      </c>
      <c r="O60" s="47" t="s">
        <v>35</v>
      </c>
      <c r="P60" s="51"/>
      <c r="Q60" s="62" t="s">
        <v>168</v>
      </c>
      <c r="R60" s="53">
        <f>COUNTIF(M:M,"WEEK 5")</f>
        <v>13</v>
      </c>
      <c r="T60" s="62" t="s">
        <v>169</v>
      </c>
      <c r="U60" s="53">
        <f>COUNTIF(C:C,"Joget")</f>
        <v>1</v>
      </c>
    </row>
    <row r="61" hidden="1">
      <c r="B61" s="13">
        <v>43.0</v>
      </c>
      <c r="C61" s="29" t="s">
        <v>159</v>
      </c>
      <c r="D61" s="76" t="s">
        <v>160</v>
      </c>
      <c r="E61" s="72"/>
      <c r="F61" s="27" t="s">
        <v>170</v>
      </c>
      <c r="G61" s="30" t="s">
        <v>120</v>
      </c>
      <c r="H61" s="29" t="s">
        <v>38</v>
      </c>
      <c r="I61" s="30" t="s">
        <v>29</v>
      </c>
      <c r="J61" s="30" t="s">
        <v>30</v>
      </c>
      <c r="K61" s="28" t="s">
        <v>31</v>
      </c>
      <c r="L61" s="31" t="s">
        <v>32</v>
      </c>
      <c r="M61" s="30" t="s">
        <v>162</v>
      </c>
      <c r="N61" s="29" t="s">
        <v>171</v>
      </c>
      <c r="O61" s="33" t="s">
        <v>35</v>
      </c>
      <c r="P61" s="51"/>
      <c r="Q61" s="62" t="s">
        <v>172</v>
      </c>
      <c r="R61" s="53">
        <f>COUNTIF(M:M,"WEEK 6")</f>
        <v>25</v>
      </c>
      <c r="T61" s="62" t="s">
        <v>132</v>
      </c>
      <c r="U61" s="53">
        <f>COUNTIF(C:C,"PMS")</f>
        <v>1</v>
      </c>
    </row>
    <row r="62" hidden="1">
      <c r="B62" s="10">
        <v>44.0</v>
      </c>
      <c r="C62" s="42" t="s">
        <v>159</v>
      </c>
      <c r="D62" s="80" t="s">
        <v>160</v>
      </c>
      <c r="E62" s="75"/>
      <c r="F62" s="40" t="s">
        <v>173</v>
      </c>
      <c r="G62" s="43" t="s">
        <v>92</v>
      </c>
      <c r="H62" s="42" t="s">
        <v>38</v>
      </c>
      <c r="I62" s="43" t="s">
        <v>29</v>
      </c>
      <c r="J62" s="43" t="s">
        <v>30</v>
      </c>
      <c r="K62" s="41" t="s">
        <v>31</v>
      </c>
      <c r="L62" s="45" t="s">
        <v>32</v>
      </c>
      <c r="M62" s="43" t="s">
        <v>162</v>
      </c>
      <c r="N62" s="42" t="s">
        <v>174</v>
      </c>
      <c r="O62" s="47" t="s">
        <v>35</v>
      </c>
      <c r="P62" s="51"/>
      <c r="Q62" s="62" t="s">
        <v>175</v>
      </c>
      <c r="R62" s="53">
        <f>COUNTIF(M:M,"WEEK 7")</f>
        <v>71</v>
      </c>
      <c r="T62" s="62" t="s">
        <v>176</v>
      </c>
      <c r="U62" s="53">
        <f>COUNTIF(C:C,"Agencies")</f>
        <v>2</v>
      </c>
    </row>
    <row r="63" hidden="1">
      <c r="B63" s="13">
        <v>45.0</v>
      </c>
      <c r="C63" s="26" t="s">
        <v>159</v>
      </c>
      <c r="D63" s="56" t="s">
        <v>160</v>
      </c>
      <c r="E63" s="63"/>
      <c r="F63" s="27" t="s">
        <v>177</v>
      </c>
      <c r="G63" s="30" t="s">
        <v>113</v>
      </c>
      <c r="H63" s="29" t="s">
        <v>107</v>
      </c>
      <c r="I63" s="30" t="s">
        <v>52</v>
      </c>
      <c r="J63" s="30" t="s">
        <v>30</v>
      </c>
      <c r="K63" s="28" t="s">
        <v>31</v>
      </c>
      <c r="L63" s="31" t="s">
        <v>32</v>
      </c>
      <c r="M63" s="30" t="s">
        <v>162</v>
      </c>
      <c r="N63" s="65">
        <v>45873.370671296296</v>
      </c>
      <c r="O63" s="33" t="s">
        <v>35</v>
      </c>
      <c r="P63" s="51"/>
      <c r="Q63" s="62" t="s">
        <v>178</v>
      </c>
      <c r="R63" s="53">
        <f>COUNTIF(M:M,"WEEK 8")</f>
        <v>44</v>
      </c>
      <c r="T63" s="62" t="s">
        <v>141</v>
      </c>
      <c r="U63" s="53">
        <f>COUNTIF(C:C,"Kapal Dev")</f>
        <v>2</v>
      </c>
    </row>
    <row r="64" hidden="1">
      <c r="B64" s="10">
        <v>46.0</v>
      </c>
      <c r="C64" s="38" t="s">
        <v>159</v>
      </c>
      <c r="D64" s="58" t="s">
        <v>160</v>
      </c>
      <c r="E64" s="61"/>
      <c r="F64" s="40" t="s">
        <v>163</v>
      </c>
      <c r="G64" s="43" t="s">
        <v>92</v>
      </c>
      <c r="H64" s="42" t="s">
        <v>38</v>
      </c>
      <c r="I64" s="43" t="s">
        <v>29</v>
      </c>
      <c r="J64" s="43" t="s">
        <v>30</v>
      </c>
      <c r="K64" s="41" t="s">
        <v>31</v>
      </c>
      <c r="L64" s="45" t="s">
        <v>32</v>
      </c>
      <c r="M64" s="43" t="s">
        <v>162</v>
      </c>
      <c r="N64" s="42" t="s">
        <v>179</v>
      </c>
      <c r="O64" s="47" t="s">
        <v>35</v>
      </c>
      <c r="P64" s="51"/>
      <c r="Q64" s="62" t="s">
        <v>180</v>
      </c>
      <c r="R64" s="53">
        <f>COUNTIF(M:M,"WEEK 9")</f>
        <v>45</v>
      </c>
      <c r="T64" s="62" t="s">
        <v>143</v>
      </c>
      <c r="U64" s="53">
        <f>COUNTIF(C:C,"Customers")</f>
        <v>1</v>
      </c>
    </row>
    <row r="65" hidden="1">
      <c r="B65" s="13">
        <v>47.0</v>
      </c>
      <c r="C65" s="29" t="s">
        <v>159</v>
      </c>
      <c r="D65" s="76" t="s">
        <v>160</v>
      </c>
      <c r="E65" s="72"/>
      <c r="F65" s="77" t="s">
        <v>166</v>
      </c>
      <c r="G65" s="30" t="s">
        <v>92</v>
      </c>
      <c r="H65" s="29" t="s">
        <v>38</v>
      </c>
      <c r="I65" s="30" t="s">
        <v>29</v>
      </c>
      <c r="J65" s="30" t="s">
        <v>30</v>
      </c>
      <c r="K65" s="28" t="s">
        <v>31</v>
      </c>
      <c r="L65" s="31" t="s">
        <v>32</v>
      </c>
      <c r="M65" s="30" t="s">
        <v>162</v>
      </c>
      <c r="N65" s="29" t="s">
        <v>181</v>
      </c>
      <c r="O65" s="33" t="s">
        <v>35</v>
      </c>
      <c r="P65" s="51"/>
      <c r="Q65" s="62" t="s">
        <v>182</v>
      </c>
      <c r="R65" s="53">
        <f>COUNTIF(M:M,"WEEK 10")</f>
        <v>0</v>
      </c>
      <c r="T65" s="62" t="s">
        <v>183</v>
      </c>
      <c r="U65" s="53">
        <f>COUNTIF(C:C,"EProc")</f>
        <v>2</v>
      </c>
    </row>
    <row r="66" hidden="1">
      <c r="B66" s="10">
        <v>48.0</v>
      </c>
      <c r="C66" s="42" t="s">
        <v>159</v>
      </c>
      <c r="D66" s="79" t="s">
        <v>160</v>
      </c>
      <c r="E66" s="75"/>
      <c r="F66" s="40" t="s">
        <v>170</v>
      </c>
      <c r="G66" s="43" t="s">
        <v>113</v>
      </c>
      <c r="H66" s="42" t="s">
        <v>184</v>
      </c>
      <c r="I66" s="43" t="s">
        <v>47</v>
      </c>
      <c r="J66" s="43" t="s">
        <v>30</v>
      </c>
      <c r="K66" s="41" t="s">
        <v>31</v>
      </c>
      <c r="L66" s="45" t="s">
        <v>32</v>
      </c>
      <c r="M66" s="43" t="s">
        <v>162</v>
      </c>
      <c r="N66" s="42" t="s">
        <v>185</v>
      </c>
      <c r="O66" s="47" t="s">
        <v>35</v>
      </c>
      <c r="P66" s="51"/>
      <c r="Q66" s="62" t="s">
        <v>186</v>
      </c>
      <c r="R66" s="53">
        <f>COUNTIF(M:M,"WEEK 11")</f>
        <v>0</v>
      </c>
      <c r="T66" s="70" t="s">
        <v>152</v>
      </c>
      <c r="U66" s="53">
        <f>COUNTIF(C:C,"CIS")</f>
        <v>1</v>
      </c>
    </row>
    <row r="67" hidden="1">
      <c r="A67" s="19" t="s">
        <v>187</v>
      </c>
      <c r="B67" s="13">
        <v>49.0</v>
      </c>
      <c r="C67" s="26" t="s">
        <v>159</v>
      </c>
      <c r="D67" s="56" t="s">
        <v>160</v>
      </c>
      <c r="E67" s="63"/>
      <c r="F67" s="27" t="s">
        <v>173</v>
      </c>
      <c r="G67" s="30" t="s">
        <v>113</v>
      </c>
      <c r="H67" s="29" t="s">
        <v>184</v>
      </c>
      <c r="I67" s="30" t="s">
        <v>47</v>
      </c>
      <c r="J67" s="30" t="s">
        <v>30</v>
      </c>
      <c r="K67" s="28" t="s">
        <v>31</v>
      </c>
      <c r="L67" s="31" t="s">
        <v>32</v>
      </c>
      <c r="M67" s="30" t="s">
        <v>162</v>
      </c>
      <c r="N67" s="65">
        <v>45873.37185185185</v>
      </c>
      <c r="O67" s="33" t="s">
        <v>35</v>
      </c>
      <c r="P67" s="51"/>
      <c r="Q67" s="62" t="s">
        <v>188</v>
      </c>
      <c r="R67" s="53">
        <f>COUNTIF(M:M,"WEEK 12")</f>
        <v>0</v>
      </c>
      <c r="T67" s="52" t="s">
        <v>157</v>
      </c>
      <c r="U67" s="53">
        <f>COUNTIF(C:C,"Camar")</f>
        <v>2</v>
      </c>
    </row>
    <row r="68" hidden="1">
      <c r="A68" s="19" t="s">
        <v>189</v>
      </c>
      <c r="B68" s="10">
        <v>50.0</v>
      </c>
      <c r="C68" s="38" t="s">
        <v>159</v>
      </c>
      <c r="D68" s="58" t="s">
        <v>160</v>
      </c>
      <c r="E68" s="61"/>
      <c r="F68" s="40" t="s">
        <v>190</v>
      </c>
      <c r="G68" s="43" t="s">
        <v>92</v>
      </c>
      <c r="H68" s="42" t="s">
        <v>38</v>
      </c>
      <c r="I68" s="43" t="s">
        <v>29</v>
      </c>
      <c r="J68" s="43" t="s">
        <v>30</v>
      </c>
      <c r="K68" s="41" t="s">
        <v>31</v>
      </c>
      <c r="L68" s="45" t="s">
        <v>32</v>
      </c>
      <c r="M68" s="43" t="s">
        <v>162</v>
      </c>
      <c r="N68" s="42" t="s">
        <v>191</v>
      </c>
      <c r="O68" s="47" t="s">
        <v>35</v>
      </c>
      <c r="P68" s="51"/>
      <c r="Q68" s="62" t="s">
        <v>192</v>
      </c>
      <c r="R68" s="53">
        <f>COUNTIF(M:M,"WEEK 13")</f>
        <v>0</v>
      </c>
      <c r="T68" s="52" t="s">
        <v>159</v>
      </c>
      <c r="U68" s="53">
        <f>COUNTIF(C:C,"PPID")</f>
        <v>47</v>
      </c>
    </row>
    <row r="69" hidden="1">
      <c r="A69" s="19" t="s">
        <v>193</v>
      </c>
      <c r="B69" s="13">
        <v>51.0</v>
      </c>
      <c r="C69" s="26" t="s">
        <v>159</v>
      </c>
      <c r="D69" s="56" t="s">
        <v>160</v>
      </c>
      <c r="E69" s="63"/>
      <c r="F69" s="27" t="s">
        <v>194</v>
      </c>
      <c r="G69" s="30" t="s">
        <v>92</v>
      </c>
      <c r="H69" s="29" t="s">
        <v>38</v>
      </c>
      <c r="I69" s="30" t="s">
        <v>29</v>
      </c>
      <c r="J69" s="30" t="s">
        <v>30</v>
      </c>
      <c r="K69" s="28" t="s">
        <v>31</v>
      </c>
      <c r="L69" s="31" t="s">
        <v>32</v>
      </c>
      <c r="M69" s="30" t="s">
        <v>162</v>
      </c>
      <c r="N69" s="65">
        <v>45873.370729166665</v>
      </c>
      <c r="O69" s="33" t="s">
        <v>35</v>
      </c>
      <c r="P69" s="51"/>
      <c r="Q69" s="62" t="s">
        <v>195</v>
      </c>
      <c r="R69" s="53">
        <f>COUNTIF(M:M,"WEEK 14")</f>
        <v>0</v>
      </c>
      <c r="T69" s="52" t="s">
        <v>105</v>
      </c>
      <c r="U69" s="53">
        <f>COUNTIF(C:C,"Corporate Web")</f>
        <v>3</v>
      </c>
    </row>
    <row r="70" hidden="1">
      <c r="B70" s="10">
        <v>52.0</v>
      </c>
      <c r="C70" s="38" t="s">
        <v>159</v>
      </c>
      <c r="D70" s="58" t="s">
        <v>160</v>
      </c>
      <c r="E70" s="61"/>
      <c r="F70" s="40" t="s">
        <v>196</v>
      </c>
      <c r="G70" s="43" t="s">
        <v>92</v>
      </c>
      <c r="H70" s="42" t="s">
        <v>38</v>
      </c>
      <c r="I70" s="43" t="s">
        <v>29</v>
      </c>
      <c r="J70" s="43" t="s">
        <v>30</v>
      </c>
      <c r="K70" s="41" t="s">
        <v>31</v>
      </c>
      <c r="L70" s="45" t="s">
        <v>32</v>
      </c>
      <c r="M70" s="43" t="s">
        <v>162</v>
      </c>
      <c r="N70" s="42" t="s">
        <v>197</v>
      </c>
      <c r="O70" s="47" t="s">
        <v>35</v>
      </c>
      <c r="P70" s="51"/>
      <c r="Q70" s="52" t="s">
        <v>41</v>
      </c>
      <c r="R70" s="53">
        <f>SUM(R56:R69)</f>
        <v>274</v>
      </c>
      <c r="T70" s="52" t="s">
        <v>198</v>
      </c>
      <c r="U70" s="53">
        <f>COUNTIF(C:C,"Devel")</f>
        <v>168</v>
      </c>
    </row>
    <row r="71" hidden="1">
      <c r="B71" s="13">
        <v>53.0</v>
      </c>
      <c r="C71" s="26" t="s">
        <v>159</v>
      </c>
      <c r="D71" s="56" t="s">
        <v>160</v>
      </c>
      <c r="E71" s="63"/>
      <c r="F71" s="27" t="s">
        <v>199</v>
      </c>
      <c r="G71" s="30" t="s">
        <v>92</v>
      </c>
      <c r="H71" s="29" t="s">
        <v>38</v>
      </c>
      <c r="I71" s="30" t="s">
        <v>29</v>
      </c>
      <c r="J71" s="30" t="s">
        <v>30</v>
      </c>
      <c r="K71" s="28" t="s">
        <v>31</v>
      </c>
      <c r="L71" s="31" t="s">
        <v>32</v>
      </c>
      <c r="M71" s="30" t="s">
        <v>162</v>
      </c>
      <c r="N71" s="65">
        <v>45873.37074074074</v>
      </c>
      <c r="O71" s="33" t="s">
        <v>35</v>
      </c>
      <c r="P71" s="20"/>
      <c r="T71" s="52" t="s">
        <v>41</v>
      </c>
      <c r="U71" s="53">
        <f>SUM(U56:U70)</f>
        <v>276</v>
      </c>
    </row>
    <row r="72" hidden="1">
      <c r="B72" s="10">
        <v>54.0</v>
      </c>
      <c r="C72" s="38" t="s">
        <v>159</v>
      </c>
      <c r="D72" s="58" t="s">
        <v>160</v>
      </c>
      <c r="E72" s="61"/>
      <c r="F72" s="40" t="s">
        <v>200</v>
      </c>
      <c r="G72" s="43" t="s">
        <v>92</v>
      </c>
      <c r="H72" s="42" t="s">
        <v>38</v>
      </c>
      <c r="I72" s="43" t="s">
        <v>29</v>
      </c>
      <c r="J72" s="43" t="s">
        <v>30</v>
      </c>
      <c r="K72" s="41" t="s">
        <v>31</v>
      </c>
      <c r="L72" s="45" t="s">
        <v>32</v>
      </c>
      <c r="M72" s="43" t="s">
        <v>162</v>
      </c>
      <c r="N72" s="42" t="s">
        <v>201</v>
      </c>
      <c r="O72" s="47" t="s">
        <v>35</v>
      </c>
      <c r="P72" s="34"/>
    </row>
    <row r="73" hidden="1">
      <c r="B73" s="13">
        <v>55.0</v>
      </c>
      <c r="C73" s="26" t="s">
        <v>159</v>
      </c>
      <c r="D73" s="56" t="s">
        <v>160</v>
      </c>
      <c r="E73" s="63"/>
      <c r="F73" s="27" t="s">
        <v>202</v>
      </c>
      <c r="G73" s="30" t="s">
        <v>92</v>
      </c>
      <c r="H73" s="29" t="s">
        <v>38</v>
      </c>
      <c r="I73" s="30" t="s">
        <v>29</v>
      </c>
      <c r="J73" s="30" t="s">
        <v>30</v>
      </c>
      <c r="K73" s="28" t="s">
        <v>31</v>
      </c>
      <c r="L73" s="31" t="s">
        <v>32</v>
      </c>
      <c r="M73" s="30" t="s">
        <v>162</v>
      </c>
      <c r="N73" s="65">
        <v>45873.37074074074</v>
      </c>
      <c r="O73" s="33" t="s">
        <v>35</v>
      </c>
      <c r="P73" s="34"/>
    </row>
    <row r="74" hidden="1">
      <c r="B74" s="10">
        <v>56.0</v>
      </c>
      <c r="C74" s="38" t="s">
        <v>159</v>
      </c>
      <c r="D74" s="58" t="s">
        <v>160</v>
      </c>
      <c r="E74" s="61"/>
      <c r="F74" s="40" t="s">
        <v>203</v>
      </c>
      <c r="G74" s="43" t="s">
        <v>92</v>
      </c>
      <c r="H74" s="42" t="s">
        <v>38</v>
      </c>
      <c r="I74" s="43" t="s">
        <v>29</v>
      </c>
      <c r="J74" s="43" t="s">
        <v>30</v>
      </c>
      <c r="K74" s="41" t="s">
        <v>31</v>
      </c>
      <c r="L74" s="45" t="s">
        <v>32</v>
      </c>
      <c r="M74" s="43" t="s">
        <v>162</v>
      </c>
      <c r="N74" s="42" t="s">
        <v>204</v>
      </c>
      <c r="O74" s="47" t="s">
        <v>35</v>
      </c>
      <c r="P74" s="51"/>
    </row>
    <row r="75" hidden="1">
      <c r="B75" s="13">
        <v>57.0</v>
      </c>
      <c r="C75" s="26" t="s">
        <v>159</v>
      </c>
      <c r="D75" s="56" t="s">
        <v>160</v>
      </c>
      <c r="E75" s="63"/>
      <c r="F75" s="27" t="s">
        <v>205</v>
      </c>
      <c r="G75" s="30" t="s">
        <v>92</v>
      </c>
      <c r="H75" s="29" t="s">
        <v>38</v>
      </c>
      <c r="I75" s="30" t="s">
        <v>29</v>
      </c>
      <c r="J75" s="30" t="s">
        <v>30</v>
      </c>
      <c r="K75" s="28" t="s">
        <v>31</v>
      </c>
      <c r="L75" s="31" t="s">
        <v>32</v>
      </c>
      <c r="M75" s="30" t="s">
        <v>162</v>
      </c>
      <c r="N75" s="65">
        <v>45873.37075231481</v>
      </c>
      <c r="O75" s="33" t="s">
        <v>35</v>
      </c>
      <c r="P75" s="51"/>
    </row>
    <row r="76" hidden="1">
      <c r="B76" s="10">
        <v>58.0</v>
      </c>
      <c r="C76" s="42" t="s">
        <v>159</v>
      </c>
      <c r="D76" s="79" t="s">
        <v>160</v>
      </c>
      <c r="E76" s="75"/>
      <c r="F76" s="78" t="s">
        <v>206</v>
      </c>
      <c r="G76" s="43" t="s">
        <v>113</v>
      </c>
      <c r="H76" s="42" t="s">
        <v>107</v>
      </c>
      <c r="I76" s="43" t="s">
        <v>52</v>
      </c>
      <c r="J76" s="43" t="s">
        <v>30</v>
      </c>
      <c r="K76" s="41" t="s">
        <v>31</v>
      </c>
      <c r="L76" s="45" t="s">
        <v>32</v>
      </c>
      <c r="M76" s="43" t="s">
        <v>164</v>
      </c>
      <c r="N76" s="66">
        <v>45904.472766203704</v>
      </c>
      <c r="O76" s="47" t="s">
        <v>35</v>
      </c>
      <c r="P76" s="51"/>
    </row>
    <row r="77" hidden="1">
      <c r="B77" s="13">
        <v>59.0</v>
      </c>
      <c r="C77" s="26" t="s">
        <v>159</v>
      </c>
      <c r="D77" s="49" t="s">
        <v>160</v>
      </c>
      <c r="E77" s="63"/>
      <c r="F77" s="27" t="s">
        <v>207</v>
      </c>
      <c r="G77" s="30" t="s">
        <v>92</v>
      </c>
      <c r="H77" s="29" t="s">
        <v>38</v>
      </c>
      <c r="I77" s="30" t="s">
        <v>29</v>
      </c>
      <c r="J77" s="30" t="s">
        <v>30</v>
      </c>
      <c r="K77" s="28" t="s">
        <v>31</v>
      </c>
      <c r="L77" s="31" t="s">
        <v>44</v>
      </c>
      <c r="M77" s="30" t="s">
        <v>164</v>
      </c>
      <c r="N77" s="77" t="s">
        <v>208</v>
      </c>
      <c r="O77" s="33" t="s">
        <v>46</v>
      </c>
      <c r="P77" s="51"/>
    </row>
    <row r="78" hidden="1">
      <c r="B78" s="10">
        <v>60.0</v>
      </c>
      <c r="C78" s="38" t="s">
        <v>159</v>
      </c>
      <c r="D78" s="58" t="s">
        <v>160</v>
      </c>
      <c r="E78" s="61"/>
      <c r="F78" s="40" t="s">
        <v>209</v>
      </c>
      <c r="G78" s="43" t="s">
        <v>63</v>
      </c>
      <c r="H78" s="42" t="s">
        <v>107</v>
      </c>
      <c r="I78" s="43" t="s">
        <v>52</v>
      </c>
      <c r="J78" s="43" t="s">
        <v>30</v>
      </c>
      <c r="K78" s="41" t="s">
        <v>31</v>
      </c>
      <c r="L78" s="45" t="s">
        <v>44</v>
      </c>
      <c r="M78" s="43" t="s">
        <v>164</v>
      </c>
      <c r="N78" s="81">
        <v>45904.454363425924</v>
      </c>
      <c r="O78" s="47" t="s">
        <v>46</v>
      </c>
      <c r="P78" s="51"/>
    </row>
    <row r="79" hidden="1">
      <c r="B79" s="13">
        <v>61.0</v>
      </c>
      <c r="C79" s="29" t="s">
        <v>159</v>
      </c>
      <c r="D79" s="76" t="s">
        <v>160</v>
      </c>
      <c r="E79" s="72"/>
      <c r="F79" s="77" t="s">
        <v>210</v>
      </c>
      <c r="G79" s="30" t="s">
        <v>120</v>
      </c>
      <c r="H79" s="29" t="s">
        <v>38</v>
      </c>
      <c r="I79" s="30" t="s">
        <v>29</v>
      </c>
      <c r="J79" s="30" t="s">
        <v>30</v>
      </c>
      <c r="K79" s="28" t="s">
        <v>31</v>
      </c>
      <c r="L79" s="31" t="s">
        <v>44</v>
      </c>
      <c r="M79" s="30" t="s">
        <v>164</v>
      </c>
      <c r="N79" s="77" t="s">
        <v>211</v>
      </c>
      <c r="O79" s="33" t="s">
        <v>46</v>
      </c>
      <c r="P79" s="51"/>
    </row>
    <row r="80" hidden="1">
      <c r="B80" s="10">
        <v>62.0</v>
      </c>
      <c r="C80" s="42" t="s">
        <v>159</v>
      </c>
      <c r="D80" s="79" t="s">
        <v>160</v>
      </c>
      <c r="E80" s="75"/>
      <c r="F80" s="78" t="s">
        <v>212</v>
      </c>
      <c r="G80" s="43" t="s">
        <v>63</v>
      </c>
      <c r="H80" s="42" t="s">
        <v>107</v>
      </c>
      <c r="I80" s="43" t="s">
        <v>52</v>
      </c>
      <c r="J80" s="43" t="s">
        <v>30</v>
      </c>
      <c r="K80" s="41" t="s">
        <v>31</v>
      </c>
      <c r="L80" s="45" t="s">
        <v>44</v>
      </c>
      <c r="M80" s="43" t="s">
        <v>164</v>
      </c>
      <c r="N80" s="81">
        <v>45904.454363425924</v>
      </c>
      <c r="O80" s="47" t="s">
        <v>46</v>
      </c>
      <c r="P80" s="51"/>
    </row>
    <row r="81" hidden="1">
      <c r="B81" s="13">
        <v>63.0</v>
      </c>
      <c r="C81" s="26" t="s">
        <v>159</v>
      </c>
      <c r="D81" s="56" t="s">
        <v>160</v>
      </c>
      <c r="E81" s="63"/>
      <c r="F81" s="27" t="s">
        <v>213</v>
      </c>
      <c r="G81" s="30" t="s">
        <v>92</v>
      </c>
      <c r="H81" s="29" t="s">
        <v>38</v>
      </c>
      <c r="I81" s="30" t="s">
        <v>29</v>
      </c>
      <c r="J81" s="30" t="s">
        <v>30</v>
      </c>
      <c r="K81" s="28" t="s">
        <v>31</v>
      </c>
      <c r="L81" s="31" t="s">
        <v>44</v>
      </c>
      <c r="M81" s="30" t="s">
        <v>164</v>
      </c>
      <c r="N81" s="77" t="s">
        <v>214</v>
      </c>
      <c r="O81" s="33" t="s">
        <v>46</v>
      </c>
      <c r="P81" s="51"/>
    </row>
    <row r="82" hidden="1">
      <c r="B82" s="10">
        <v>64.0</v>
      </c>
      <c r="C82" s="38" t="s">
        <v>159</v>
      </c>
      <c r="D82" s="58" t="s">
        <v>160</v>
      </c>
      <c r="E82" s="61"/>
      <c r="F82" s="40" t="s">
        <v>215</v>
      </c>
      <c r="G82" s="43" t="s">
        <v>113</v>
      </c>
      <c r="H82" s="42" t="s">
        <v>38</v>
      </c>
      <c r="I82" s="43" t="s">
        <v>29</v>
      </c>
      <c r="J82" s="43" t="s">
        <v>30</v>
      </c>
      <c r="K82" s="41" t="s">
        <v>31</v>
      </c>
      <c r="L82" s="45" t="s">
        <v>44</v>
      </c>
      <c r="M82" s="43" t="s">
        <v>164</v>
      </c>
      <c r="N82" s="81">
        <v>45904.45452546296</v>
      </c>
      <c r="O82" s="47" t="s">
        <v>46</v>
      </c>
      <c r="P82" s="51"/>
    </row>
    <row r="83" hidden="1">
      <c r="B83" s="13">
        <v>65.0</v>
      </c>
      <c r="C83" s="29" t="s">
        <v>159</v>
      </c>
      <c r="D83" s="76" t="s">
        <v>160</v>
      </c>
      <c r="E83" s="72"/>
      <c r="F83" s="77" t="s">
        <v>216</v>
      </c>
      <c r="G83" s="30" t="s">
        <v>113</v>
      </c>
      <c r="H83" s="29" t="s">
        <v>38</v>
      </c>
      <c r="I83" s="30" t="s">
        <v>29</v>
      </c>
      <c r="J83" s="30" t="s">
        <v>30</v>
      </c>
      <c r="K83" s="28" t="s">
        <v>31</v>
      </c>
      <c r="L83" s="31" t="s">
        <v>44</v>
      </c>
      <c r="M83" s="30" t="s">
        <v>164</v>
      </c>
      <c r="N83" s="77" t="s">
        <v>217</v>
      </c>
      <c r="O83" s="33" t="s">
        <v>46</v>
      </c>
      <c r="P83" s="51"/>
    </row>
    <row r="84" hidden="1">
      <c r="B84" s="10">
        <v>66.0</v>
      </c>
      <c r="C84" s="42" t="s">
        <v>159</v>
      </c>
      <c r="D84" s="79" t="s">
        <v>160</v>
      </c>
      <c r="E84" s="75"/>
      <c r="F84" s="78" t="s">
        <v>218</v>
      </c>
      <c r="G84" s="43" t="s">
        <v>113</v>
      </c>
      <c r="H84" s="42" t="s">
        <v>107</v>
      </c>
      <c r="I84" s="43" t="s">
        <v>52</v>
      </c>
      <c r="J84" s="43" t="s">
        <v>30</v>
      </c>
      <c r="K84" s="41" t="s">
        <v>31</v>
      </c>
      <c r="L84" s="45" t="s">
        <v>44</v>
      </c>
      <c r="M84" s="43" t="s">
        <v>164</v>
      </c>
      <c r="N84" s="78" t="s">
        <v>219</v>
      </c>
      <c r="O84" s="47" t="s">
        <v>46</v>
      </c>
      <c r="P84" s="51"/>
    </row>
    <row r="85" hidden="1">
      <c r="B85" s="13">
        <v>67.0</v>
      </c>
      <c r="C85" s="26" t="s">
        <v>159</v>
      </c>
      <c r="D85" s="56" t="s">
        <v>160</v>
      </c>
      <c r="E85" s="63"/>
      <c r="F85" s="27" t="s">
        <v>220</v>
      </c>
      <c r="G85" s="30" t="s">
        <v>92</v>
      </c>
      <c r="H85" s="29" t="s">
        <v>38</v>
      </c>
      <c r="I85" s="30" t="s">
        <v>29</v>
      </c>
      <c r="J85" s="30" t="s">
        <v>30</v>
      </c>
      <c r="K85" s="28" t="s">
        <v>31</v>
      </c>
      <c r="L85" s="31" t="s">
        <v>44</v>
      </c>
      <c r="M85" s="30" t="s">
        <v>164</v>
      </c>
      <c r="N85" s="77" t="s">
        <v>221</v>
      </c>
      <c r="O85" s="33" t="s">
        <v>46</v>
      </c>
      <c r="P85" s="51"/>
    </row>
    <row r="86" hidden="1">
      <c r="B86" s="10">
        <v>68.0</v>
      </c>
      <c r="C86" s="38" t="s">
        <v>159</v>
      </c>
      <c r="D86" s="58" t="s">
        <v>160</v>
      </c>
      <c r="E86" s="61"/>
      <c r="F86" s="40" t="s">
        <v>222</v>
      </c>
      <c r="G86" s="43" t="s">
        <v>92</v>
      </c>
      <c r="H86" s="42" t="s">
        <v>38</v>
      </c>
      <c r="I86" s="43" t="s">
        <v>29</v>
      </c>
      <c r="J86" s="43" t="s">
        <v>30</v>
      </c>
      <c r="K86" s="41" t="s">
        <v>31</v>
      </c>
      <c r="L86" s="45" t="s">
        <v>44</v>
      </c>
      <c r="M86" s="43" t="s">
        <v>164</v>
      </c>
      <c r="N86" s="78" t="s">
        <v>223</v>
      </c>
      <c r="O86" s="47" t="s">
        <v>46</v>
      </c>
      <c r="P86" s="51"/>
    </row>
    <row r="87" hidden="1">
      <c r="B87" s="13">
        <v>69.0</v>
      </c>
      <c r="C87" s="29" t="s">
        <v>159</v>
      </c>
      <c r="D87" s="76" t="s">
        <v>160</v>
      </c>
      <c r="E87" s="72"/>
      <c r="F87" s="77" t="s">
        <v>224</v>
      </c>
      <c r="G87" s="30" t="s">
        <v>92</v>
      </c>
      <c r="H87" s="29" t="s">
        <v>38</v>
      </c>
      <c r="I87" s="30" t="s">
        <v>29</v>
      </c>
      <c r="J87" s="30" t="s">
        <v>30</v>
      </c>
      <c r="K87" s="28" t="s">
        <v>31</v>
      </c>
      <c r="L87" s="31" t="s">
        <v>44</v>
      </c>
      <c r="M87" s="30" t="s">
        <v>164</v>
      </c>
      <c r="N87" s="77" t="s">
        <v>225</v>
      </c>
      <c r="O87" s="33" t="s">
        <v>46</v>
      </c>
      <c r="P87" s="51"/>
    </row>
    <row r="88" hidden="1">
      <c r="B88" s="10">
        <v>70.0</v>
      </c>
      <c r="C88" s="42" t="s">
        <v>159</v>
      </c>
      <c r="D88" s="79" t="s">
        <v>160</v>
      </c>
      <c r="E88" s="75"/>
      <c r="F88" s="78" t="s">
        <v>226</v>
      </c>
      <c r="G88" s="43" t="s">
        <v>113</v>
      </c>
      <c r="H88" s="42" t="s">
        <v>38</v>
      </c>
      <c r="I88" s="43" t="s">
        <v>29</v>
      </c>
      <c r="J88" s="43" t="s">
        <v>30</v>
      </c>
      <c r="K88" s="41" t="s">
        <v>31</v>
      </c>
      <c r="L88" s="45" t="s">
        <v>44</v>
      </c>
      <c r="M88" s="43" t="s">
        <v>164</v>
      </c>
      <c r="N88" s="78" t="s">
        <v>227</v>
      </c>
      <c r="O88" s="47" t="s">
        <v>46</v>
      </c>
      <c r="P88" s="51"/>
    </row>
    <row r="89" hidden="1">
      <c r="B89" s="13">
        <v>71.0</v>
      </c>
      <c r="C89" s="26" t="s">
        <v>159</v>
      </c>
      <c r="D89" s="56" t="s">
        <v>160</v>
      </c>
      <c r="E89" s="63"/>
      <c r="F89" s="27" t="s">
        <v>228</v>
      </c>
      <c r="G89" s="30" t="s">
        <v>92</v>
      </c>
      <c r="H89" s="29" t="s">
        <v>38</v>
      </c>
      <c r="I89" s="30" t="s">
        <v>29</v>
      </c>
      <c r="J89" s="30" t="s">
        <v>30</v>
      </c>
      <c r="K89" s="28" t="s">
        <v>31</v>
      </c>
      <c r="L89" s="31" t="s">
        <v>44</v>
      </c>
      <c r="M89" s="30" t="s">
        <v>164</v>
      </c>
      <c r="N89" s="77" t="s">
        <v>229</v>
      </c>
      <c r="O89" s="33" t="s">
        <v>46</v>
      </c>
      <c r="P89" s="20"/>
    </row>
    <row r="90" hidden="1">
      <c r="B90" s="10">
        <v>72.0</v>
      </c>
      <c r="C90" s="38" t="s">
        <v>159</v>
      </c>
      <c r="D90" s="58" t="s">
        <v>160</v>
      </c>
      <c r="E90" s="61"/>
      <c r="F90" s="40" t="s">
        <v>230</v>
      </c>
      <c r="G90" s="43" t="s">
        <v>113</v>
      </c>
      <c r="H90" s="42" t="s">
        <v>107</v>
      </c>
      <c r="I90" s="43" t="s">
        <v>52</v>
      </c>
      <c r="J90" s="43" t="s">
        <v>30</v>
      </c>
      <c r="K90" s="41" t="s">
        <v>31</v>
      </c>
      <c r="L90" s="45" t="s">
        <v>44</v>
      </c>
      <c r="M90" s="43" t="s">
        <v>164</v>
      </c>
      <c r="N90" s="81">
        <v>45904.588125</v>
      </c>
      <c r="O90" s="47" t="s">
        <v>46</v>
      </c>
      <c r="P90" s="20"/>
    </row>
    <row r="91" hidden="1">
      <c r="B91" s="13">
        <v>73.0</v>
      </c>
      <c r="C91" s="29" t="s">
        <v>159</v>
      </c>
      <c r="D91" s="76" t="s">
        <v>160</v>
      </c>
      <c r="E91" s="77" t="s">
        <v>165</v>
      </c>
      <c r="F91" s="77" t="s">
        <v>231</v>
      </c>
      <c r="G91" s="30" t="s">
        <v>92</v>
      </c>
      <c r="H91" s="29" t="s">
        <v>38</v>
      </c>
      <c r="I91" s="30" t="s">
        <v>29</v>
      </c>
      <c r="J91" s="30" t="s">
        <v>30</v>
      </c>
      <c r="K91" s="28" t="s">
        <v>31</v>
      </c>
      <c r="L91" s="31" t="s">
        <v>44</v>
      </c>
      <c r="M91" s="30" t="s">
        <v>164</v>
      </c>
      <c r="N91" s="73">
        <v>45904.4546412037</v>
      </c>
      <c r="O91" s="33" t="s">
        <v>46</v>
      </c>
      <c r="P91" s="20"/>
    </row>
    <row r="92" hidden="1">
      <c r="B92" s="10">
        <v>74.0</v>
      </c>
      <c r="C92" s="42" t="s">
        <v>159</v>
      </c>
      <c r="D92" s="79" t="s">
        <v>160</v>
      </c>
      <c r="E92" s="78" t="s">
        <v>165</v>
      </c>
      <c r="F92" s="78" t="s">
        <v>232</v>
      </c>
      <c r="G92" s="43" t="s">
        <v>92</v>
      </c>
      <c r="H92" s="42" t="s">
        <v>38</v>
      </c>
      <c r="I92" s="43" t="s">
        <v>29</v>
      </c>
      <c r="J92" s="43" t="s">
        <v>30</v>
      </c>
      <c r="K92" s="41" t="s">
        <v>31</v>
      </c>
      <c r="L92" s="45" t="s">
        <v>44</v>
      </c>
      <c r="M92" s="43" t="s">
        <v>164</v>
      </c>
      <c r="N92" s="81">
        <v>45904.454675925925</v>
      </c>
      <c r="O92" s="47" t="s">
        <v>46</v>
      </c>
      <c r="P92" s="20"/>
    </row>
    <row r="93" hidden="1">
      <c r="B93" s="13">
        <v>75.0</v>
      </c>
      <c r="C93" s="26" t="s">
        <v>159</v>
      </c>
      <c r="D93" s="56" t="s">
        <v>160</v>
      </c>
      <c r="E93" s="27" t="s">
        <v>165</v>
      </c>
      <c r="F93" s="27" t="s">
        <v>233</v>
      </c>
      <c r="G93" s="30" t="s">
        <v>92</v>
      </c>
      <c r="H93" s="29" t="s">
        <v>38</v>
      </c>
      <c r="I93" s="30" t="s">
        <v>29</v>
      </c>
      <c r="J93" s="30" t="s">
        <v>30</v>
      </c>
      <c r="K93" s="28" t="s">
        <v>31</v>
      </c>
      <c r="L93" s="31" t="s">
        <v>44</v>
      </c>
      <c r="M93" s="30" t="s">
        <v>164</v>
      </c>
      <c r="N93" s="77" t="s">
        <v>234</v>
      </c>
      <c r="O93" s="33" t="s">
        <v>46</v>
      </c>
      <c r="P93" s="20"/>
    </row>
    <row r="94" hidden="1">
      <c r="B94" s="10">
        <v>76.0</v>
      </c>
      <c r="C94" s="38" t="s">
        <v>159</v>
      </c>
      <c r="D94" s="58" t="s">
        <v>160</v>
      </c>
      <c r="E94" s="40" t="s">
        <v>235</v>
      </c>
      <c r="F94" s="40" t="s">
        <v>236</v>
      </c>
      <c r="G94" s="43" t="s">
        <v>92</v>
      </c>
      <c r="H94" s="42" t="s">
        <v>38</v>
      </c>
      <c r="I94" s="43" t="s">
        <v>29</v>
      </c>
      <c r="J94" s="43" t="s">
        <v>30</v>
      </c>
      <c r="K94" s="41" t="s">
        <v>31</v>
      </c>
      <c r="L94" s="45" t="s">
        <v>44</v>
      </c>
      <c r="M94" s="43" t="s">
        <v>164</v>
      </c>
      <c r="N94" s="78" t="s">
        <v>237</v>
      </c>
      <c r="O94" s="47" t="s">
        <v>46</v>
      </c>
      <c r="P94" s="20"/>
    </row>
    <row r="95" hidden="1">
      <c r="B95" s="13">
        <v>77.0</v>
      </c>
      <c r="C95" s="29"/>
      <c r="D95" s="29"/>
      <c r="E95" s="77"/>
      <c r="F95" s="77"/>
      <c r="G95" s="82"/>
      <c r="H95" s="83"/>
      <c r="I95" s="30"/>
      <c r="J95" s="30"/>
      <c r="K95" s="28"/>
      <c r="L95" s="32"/>
      <c r="M95" s="82"/>
      <c r="N95" s="73">
        <v>45965.62354166667</v>
      </c>
      <c r="O95" s="84"/>
    </row>
    <row r="96">
      <c r="B96" s="10">
        <v>78.0</v>
      </c>
      <c r="C96" s="42" t="s">
        <v>159</v>
      </c>
      <c r="D96" s="79" t="s">
        <v>238</v>
      </c>
      <c r="E96" s="78"/>
      <c r="F96" s="78" t="s">
        <v>239</v>
      </c>
      <c r="G96" s="43" t="s">
        <v>113</v>
      </c>
      <c r="H96" s="85" t="s">
        <v>240</v>
      </c>
      <c r="I96" s="43" t="s">
        <v>29</v>
      </c>
      <c r="J96" s="43" t="s">
        <v>80</v>
      </c>
      <c r="K96" s="41" t="s">
        <v>241</v>
      </c>
      <c r="L96" s="45" t="s">
        <v>44</v>
      </c>
      <c r="M96" s="43" t="s">
        <v>168</v>
      </c>
      <c r="N96" s="78" t="s">
        <v>242</v>
      </c>
      <c r="O96" s="86" t="s">
        <v>241</v>
      </c>
    </row>
    <row r="97">
      <c r="B97" s="13">
        <v>79.0</v>
      </c>
      <c r="C97" s="29" t="s">
        <v>159</v>
      </c>
      <c r="D97" s="76" t="s">
        <v>243</v>
      </c>
      <c r="E97" s="77" t="s">
        <v>244</v>
      </c>
      <c r="F97" s="77" t="s">
        <v>245</v>
      </c>
      <c r="G97" s="30" t="s">
        <v>92</v>
      </c>
      <c r="H97" s="29" t="s">
        <v>240</v>
      </c>
      <c r="I97" s="30" t="s">
        <v>29</v>
      </c>
      <c r="J97" s="30" t="s">
        <v>30</v>
      </c>
      <c r="K97" s="28" t="s">
        <v>241</v>
      </c>
      <c r="L97" s="31" t="s">
        <v>44</v>
      </c>
      <c r="M97" s="30" t="s">
        <v>168</v>
      </c>
      <c r="N97" s="77" t="s">
        <v>246</v>
      </c>
      <c r="O97" s="87" t="s">
        <v>241</v>
      </c>
    </row>
    <row r="98">
      <c r="B98" s="10">
        <v>80.0</v>
      </c>
      <c r="C98" s="38" t="s">
        <v>159</v>
      </c>
      <c r="D98" s="38" t="s">
        <v>247</v>
      </c>
      <c r="E98" s="40" t="s">
        <v>244</v>
      </c>
      <c r="F98" s="40" t="s">
        <v>248</v>
      </c>
      <c r="G98" s="43" t="s">
        <v>63</v>
      </c>
      <c r="H98" s="88" t="s">
        <v>249</v>
      </c>
      <c r="I98" s="43" t="s">
        <v>52</v>
      </c>
      <c r="J98" s="43" t="s">
        <v>30</v>
      </c>
      <c r="K98" s="41" t="s">
        <v>241</v>
      </c>
      <c r="L98" s="45" t="s">
        <v>44</v>
      </c>
      <c r="M98" s="43" t="s">
        <v>168</v>
      </c>
      <c r="N98" s="78" t="s">
        <v>250</v>
      </c>
      <c r="O98" s="86" t="s">
        <v>241</v>
      </c>
    </row>
    <row r="99">
      <c r="B99" s="13">
        <v>81.0</v>
      </c>
      <c r="C99" s="26" t="s">
        <v>159</v>
      </c>
      <c r="D99" s="56" t="s">
        <v>251</v>
      </c>
      <c r="E99" s="27"/>
      <c r="F99" s="27" t="s">
        <v>252</v>
      </c>
      <c r="G99" s="30" t="s">
        <v>92</v>
      </c>
      <c r="H99" s="29" t="s">
        <v>240</v>
      </c>
      <c r="I99" s="30" t="s">
        <v>29</v>
      </c>
      <c r="J99" s="30" t="s">
        <v>30</v>
      </c>
      <c r="K99" s="28" t="s">
        <v>241</v>
      </c>
      <c r="L99" s="31" t="s">
        <v>44</v>
      </c>
      <c r="M99" s="30" t="s">
        <v>168</v>
      </c>
      <c r="N99" s="77" t="s">
        <v>253</v>
      </c>
      <c r="O99" s="87" t="s">
        <v>241</v>
      </c>
    </row>
    <row r="100">
      <c r="B100" s="10">
        <v>82.0</v>
      </c>
      <c r="C100" s="42" t="s">
        <v>254</v>
      </c>
      <c r="D100" s="79" t="s">
        <v>255</v>
      </c>
      <c r="E100" s="78" t="s">
        <v>256</v>
      </c>
      <c r="F100" s="78" t="s">
        <v>257</v>
      </c>
      <c r="G100" s="43" t="s">
        <v>258</v>
      </c>
      <c r="H100" s="42" t="s">
        <v>249</v>
      </c>
      <c r="I100" s="43" t="s">
        <v>52</v>
      </c>
      <c r="J100" s="43" t="s">
        <v>77</v>
      </c>
      <c r="K100" s="41" t="s">
        <v>241</v>
      </c>
      <c r="L100" s="45" t="s">
        <v>44</v>
      </c>
      <c r="M100" s="43" t="s">
        <v>168</v>
      </c>
      <c r="N100" s="78" t="s">
        <v>259</v>
      </c>
      <c r="O100" s="86" t="s">
        <v>241</v>
      </c>
      <c r="P100" s="20"/>
    </row>
    <row r="101">
      <c r="B101" s="13">
        <v>83.0</v>
      </c>
      <c r="C101" s="29" t="s">
        <v>254</v>
      </c>
      <c r="D101" s="76" t="s">
        <v>255</v>
      </c>
      <c r="E101" s="77" t="s">
        <v>260</v>
      </c>
      <c r="F101" s="77" t="s">
        <v>261</v>
      </c>
      <c r="G101" s="30" t="s">
        <v>258</v>
      </c>
      <c r="H101" s="29" t="s">
        <v>249</v>
      </c>
      <c r="I101" s="30" t="s">
        <v>52</v>
      </c>
      <c r="J101" s="30" t="s">
        <v>77</v>
      </c>
      <c r="K101" s="28" t="s">
        <v>241</v>
      </c>
      <c r="L101" s="31" t="s">
        <v>44</v>
      </c>
      <c r="M101" s="30" t="s">
        <v>168</v>
      </c>
      <c r="N101" s="73">
        <v>45965.64252314815</v>
      </c>
      <c r="O101" s="87" t="s">
        <v>241</v>
      </c>
      <c r="P101" s="20"/>
    </row>
    <row r="102">
      <c r="B102" s="10">
        <v>84.0</v>
      </c>
      <c r="C102" s="38" t="s">
        <v>254</v>
      </c>
      <c r="D102" s="58" t="s">
        <v>262</v>
      </c>
      <c r="E102" s="40" t="s">
        <v>263</v>
      </c>
      <c r="F102" s="40" t="s">
        <v>125</v>
      </c>
      <c r="G102" s="43" t="s">
        <v>113</v>
      </c>
      <c r="H102" s="85" t="s">
        <v>240</v>
      </c>
      <c r="I102" s="43" t="s">
        <v>29</v>
      </c>
      <c r="J102" s="43" t="s">
        <v>77</v>
      </c>
      <c r="K102" s="41" t="s">
        <v>241</v>
      </c>
      <c r="L102" s="45" t="s">
        <v>44</v>
      </c>
      <c r="M102" s="43" t="s">
        <v>168</v>
      </c>
      <c r="N102" s="78" t="s">
        <v>264</v>
      </c>
      <c r="O102" s="86" t="s">
        <v>241</v>
      </c>
      <c r="P102" s="20"/>
    </row>
    <row r="103">
      <c r="B103" s="13">
        <v>85.0</v>
      </c>
      <c r="C103" s="26" t="s">
        <v>265</v>
      </c>
      <c r="D103" s="56" t="s">
        <v>266</v>
      </c>
      <c r="E103" s="27"/>
      <c r="F103" s="27" t="s">
        <v>112</v>
      </c>
      <c r="G103" s="30" t="s">
        <v>113</v>
      </c>
      <c r="H103" s="29" t="s">
        <v>240</v>
      </c>
      <c r="I103" s="30" t="s">
        <v>29</v>
      </c>
      <c r="J103" s="30" t="s">
        <v>77</v>
      </c>
      <c r="K103" s="28" t="s">
        <v>241</v>
      </c>
      <c r="L103" s="31" t="s">
        <v>44</v>
      </c>
      <c r="M103" s="30" t="s">
        <v>168</v>
      </c>
      <c r="N103" s="77" t="s">
        <v>267</v>
      </c>
      <c r="O103" s="87" t="s">
        <v>241</v>
      </c>
      <c r="P103" s="20"/>
    </row>
    <row r="104">
      <c r="B104" s="10">
        <v>86.0</v>
      </c>
      <c r="C104" s="42"/>
      <c r="D104" s="79" t="s">
        <v>268</v>
      </c>
      <c r="E104" s="78"/>
      <c r="F104" s="40" t="s">
        <v>112</v>
      </c>
      <c r="G104" s="43" t="s">
        <v>113</v>
      </c>
      <c r="H104" s="42" t="s">
        <v>240</v>
      </c>
      <c r="I104" s="43" t="s">
        <v>29</v>
      </c>
      <c r="J104" s="43" t="s">
        <v>77</v>
      </c>
      <c r="K104" s="41" t="s">
        <v>241</v>
      </c>
      <c r="L104" s="45" t="s">
        <v>44</v>
      </c>
      <c r="M104" s="43" t="s">
        <v>168</v>
      </c>
      <c r="N104" s="81">
        <v>45995.8775</v>
      </c>
      <c r="O104" s="86" t="s">
        <v>241</v>
      </c>
      <c r="P104" s="20"/>
    </row>
    <row r="105">
      <c r="B105" s="13">
        <v>87.0</v>
      </c>
      <c r="C105" s="89" t="s">
        <v>269</v>
      </c>
      <c r="D105" s="76" t="s">
        <v>270</v>
      </c>
      <c r="E105" s="77"/>
      <c r="F105" s="27" t="s">
        <v>271</v>
      </c>
      <c r="G105" s="30" t="s">
        <v>69</v>
      </c>
      <c r="H105" s="29" t="s">
        <v>240</v>
      </c>
      <c r="I105" s="30" t="s">
        <v>29</v>
      </c>
      <c r="J105" s="30" t="s">
        <v>77</v>
      </c>
      <c r="K105" s="28" t="s">
        <v>241</v>
      </c>
      <c r="L105" s="31" t="s">
        <v>44</v>
      </c>
      <c r="M105" s="30" t="s">
        <v>168</v>
      </c>
      <c r="N105" s="77" t="s">
        <v>272</v>
      </c>
      <c r="O105" s="87" t="s">
        <v>241</v>
      </c>
      <c r="P105" s="20"/>
    </row>
    <row r="106">
      <c r="B106" s="10">
        <v>88.0</v>
      </c>
      <c r="C106" s="90" t="s">
        <v>269</v>
      </c>
      <c r="D106" s="58" t="s">
        <v>270</v>
      </c>
      <c r="E106" s="40"/>
      <c r="F106" s="40" t="s">
        <v>273</v>
      </c>
      <c r="G106" s="43" t="s">
        <v>69</v>
      </c>
      <c r="H106" s="42" t="s">
        <v>249</v>
      </c>
      <c r="I106" s="43" t="s">
        <v>52</v>
      </c>
      <c r="J106" s="43" t="s">
        <v>77</v>
      </c>
      <c r="K106" s="41" t="s">
        <v>241</v>
      </c>
      <c r="L106" s="45" t="s">
        <v>44</v>
      </c>
      <c r="M106" s="43" t="s">
        <v>168</v>
      </c>
      <c r="N106" s="78" t="s">
        <v>274</v>
      </c>
      <c r="O106" s="86" t="s">
        <v>241</v>
      </c>
      <c r="P106" s="20"/>
    </row>
    <row r="107">
      <c r="B107" s="13">
        <v>89.0</v>
      </c>
      <c r="C107" s="26" t="s">
        <v>275</v>
      </c>
      <c r="D107" s="56" t="s">
        <v>276</v>
      </c>
      <c r="E107" s="27"/>
      <c r="F107" s="27" t="s">
        <v>271</v>
      </c>
      <c r="G107" s="30" t="s">
        <v>69</v>
      </c>
      <c r="H107" s="29" t="s">
        <v>240</v>
      </c>
      <c r="I107" s="30" t="s">
        <v>29</v>
      </c>
      <c r="J107" s="30" t="s">
        <v>77</v>
      </c>
      <c r="K107" s="28" t="s">
        <v>241</v>
      </c>
      <c r="L107" s="31" t="s">
        <v>44</v>
      </c>
      <c r="M107" s="30" t="s">
        <v>168</v>
      </c>
      <c r="N107" s="77" t="s">
        <v>277</v>
      </c>
      <c r="O107" s="87" t="s">
        <v>241</v>
      </c>
      <c r="P107" s="20"/>
    </row>
    <row r="108">
      <c r="B108" s="10">
        <v>90.0</v>
      </c>
      <c r="C108" s="42" t="s">
        <v>275</v>
      </c>
      <c r="D108" s="79" t="s">
        <v>278</v>
      </c>
      <c r="E108" s="78"/>
      <c r="F108" s="40" t="s">
        <v>273</v>
      </c>
      <c r="G108" s="43" t="s">
        <v>69</v>
      </c>
      <c r="H108" s="42" t="s">
        <v>249</v>
      </c>
      <c r="I108" s="43" t="s">
        <v>52</v>
      </c>
      <c r="J108" s="43" t="s">
        <v>77</v>
      </c>
      <c r="K108" s="41" t="s">
        <v>241</v>
      </c>
      <c r="L108" s="45" t="s">
        <v>44</v>
      </c>
      <c r="M108" s="43" t="s">
        <v>168</v>
      </c>
      <c r="N108" s="78" t="s">
        <v>279</v>
      </c>
      <c r="O108" s="86" t="s">
        <v>241</v>
      </c>
      <c r="P108" s="20"/>
    </row>
    <row r="109">
      <c r="B109" s="13">
        <v>91.0</v>
      </c>
      <c r="C109" s="29" t="s">
        <v>254</v>
      </c>
      <c r="D109" s="76" t="s">
        <v>280</v>
      </c>
      <c r="E109" s="77" t="s">
        <v>281</v>
      </c>
      <c r="F109" s="26" t="s">
        <v>282</v>
      </c>
      <c r="G109" s="30" t="s">
        <v>113</v>
      </c>
      <c r="H109" s="29" t="s">
        <v>240</v>
      </c>
      <c r="I109" s="30" t="s">
        <v>29</v>
      </c>
      <c r="J109" s="30" t="s">
        <v>77</v>
      </c>
      <c r="K109" s="28" t="s">
        <v>241</v>
      </c>
      <c r="L109" s="31" t="s">
        <v>44</v>
      </c>
      <c r="M109" s="30" t="s">
        <v>172</v>
      </c>
      <c r="N109" s="77" t="s">
        <v>283</v>
      </c>
      <c r="O109" s="87" t="s">
        <v>241</v>
      </c>
      <c r="P109" s="20"/>
    </row>
    <row r="110">
      <c r="B110" s="10">
        <v>92.0</v>
      </c>
      <c r="C110" s="91" t="s">
        <v>254</v>
      </c>
      <c r="D110" s="92" t="s">
        <v>284</v>
      </c>
      <c r="E110" s="93" t="s">
        <v>285</v>
      </c>
      <c r="F110" s="91" t="s">
        <v>282</v>
      </c>
      <c r="G110" s="43" t="s">
        <v>120</v>
      </c>
      <c r="H110" s="42" t="s">
        <v>240</v>
      </c>
      <c r="I110" s="43" t="s">
        <v>29</v>
      </c>
      <c r="J110" s="43" t="s">
        <v>77</v>
      </c>
      <c r="K110" s="41" t="s">
        <v>241</v>
      </c>
      <c r="L110" s="45" t="s">
        <v>44</v>
      </c>
      <c r="M110" s="43" t="s">
        <v>172</v>
      </c>
      <c r="N110" s="78" t="s">
        <v>286</v>
      </c>
      <c r="O110" s="86" t="s">
        <v>241</v>
      </c>
      <c r="P110" s="20"/>
    </row>
    <row r="111">
      <c r="B111" s="13">
        <v>93.0</v>
      </c>
      <c r="C111" s="91" t="s">
        <v>254</v>
      </c>
      <c r="D111" s="92" t="s">
        <v>284</v>
      </c>
      <c r="E111" s="93" t="s">
        <v>287</v>
      </c>
      <c r="F111" s="91" t="s">
        <v>282</v>
      </c>
      <c r="G111" s="30" t="s">
        <v>113</v>
      </c>
      <c r="H111" s="29" t="s">
        <v>240</v>
      </c>
      <c r="I111" s="30" t="s">
        <v>29</v>
      </c>
      <c r="J111" s="30" t="s">
        <v>77</v>
      </c>
      <c r="K111" s="28" t="s">
        <v>241</v>
      </c>
      <c r="L111" s="31" t="s">
        <v>44</v>
      </c>
      <c r="M111" s="30" t="s">
        <v>172</v>
      </c>
      <c r="N111" s="77" t="s">
        <v>288</v>
      </c>
      <c r="O111" s="87" t="s">
        <v>241</v>
      </c>
      <c r="P111" s="20"/>
    </row>
    <row r="112">
      <c r="A112" s="19" t="s">
        <v>289</v>
      </c>
      <c r="B112" s="10">
        <v>94.0</v>
      </c>
      <c r="C112" s="42" t="s">
        <v>254</v>
      </c>
      <c r="D112" s="80" t="s">
        <v>284</v>
      </c>
      <c r="E112" s="78" t="s">
        <v>290</v>
      </c>
      <c r="F112" s="38" t="s">
        <v>282</v>
      </c>
      <c r="G112" s="43" t="s">
        <v>113</v>
      </c>
      <c r="H112" s="42" t="s">
        <v>240</v>
      </c>
      <c r="I112" s="43" t="s">
        <v>29</v>
      </c>
      <c r="J112" s="43" t="s">
        <v>77</v>
      </c>
      <c r="K112" s="41" t="s">
        <v>241</v>
      </c>
      <c r="L112" s="45" t="s">
        <v>44</v>
      </c>
      <c r="M112" s="43" t="s">
        <v>172</v>
      </c>
      <c r="N112" s="78" t="s">
        <v>291</v>
      </c>
      <c r="O112" s="86" t="s">
        <v>241</v>
      </c>
      <c r="P112" s="20"/>
    </row>
    <row r="113">
      <c r="A113" s="19" t="s">
        <v>189</v>
      </c>
      <c r="B113" s="13">
        <v>95.0</v>
      </c>
      <c r="C113" s="29" t="s">
        <v>254</v>
      </c>
      <c r="D113" s="76" t="s">
        <v>292</v>
      </c>
      <c r="E113" s="77" t="s">
        <v>293</v>
      </c>
      <c r="F113" s="26" t="s">
        <v>282</v>
      </c>
      <c r="G113" s="30" t="s">
        <v>113</v>
      </c>
      <c r="H113" s="29" t="s">
        <v>240</v>
      </c>
      <c r="I113" s="30" t="s">
        <v>29</v>
      </c>
      <c r="J113" s="30" t="s">
        <v>77</v>
      </c>
      <c r="K113" s="28" t="s">
        <v>241</v>
      </c>
      <c r="L113" s="31" t="s">
        <v>44</v>
      </c>
      <c r="M113" s="30" t="s">
        <v>172</v>
      </c>
      <c r="N113" s="77" t="s">
        <v>294</v>
      </c>
      <c r="O113" s="87" t="s">
        <v>241</v>
      </c>
      <c r="P113" s="20"/>
    </row>
    <row r="114">
      <c r="A114" s="19" t="s">
        <v>193</v>
      </c>
      <c r="B114" s="10">
        <v>96.0</v>
      </c>
      <c r="C114" s="91" t="s">
        <v>254</v>
      </c>
      <c r="D114" s="79" t="s">
        <v>292</v>
      </c>
      <c r="E114" s="78" t="s">
        <v>295</v>
      </c>
      <c r="F114" s="38" t="s">
        <v>282</v>
      </c>
      <c r="G114" s="43" t="s">
        <v>113</v>
      </c>
      <c r="H114" s="42" t="s">
        <v>240</v>
      </c>
      <c r="I114" s="43" t="s">
        <v>29</v>
      </c>
      <c r="J114" s="43" t="s">
        <v>77</v>
      </c>
      <c r="K114" s="41" t="s">
        <v>241</v>
      </c>
      <c r="L114" s="45" t="s">
        <v>44</v>
      </c>
      <c r="M114" s="43" t="s">
        <v>172</v>
      </c>
      <c r="N114" s="78" t="s">
        <v>296</v>
      </c>
      <c r="O114" s="86" t="s">
        <v>241</v>
      </c>
      <c r="P114" s="20"/>
    </row>
    <row r="115" hidden="1">
      <c r="B115" s="13"/>
      <c r="C115" s="29"/>
      <c r="D115" s="29"/>
      <c r="E115" s="77"/>
      <c r="F115" s="27"/>
      <c r="G115" s="82"/>
      <c r="H115" s="29"/>
      <c r="I115" s="82"/>
      <c r="J115" s="82"/>
      <c r="K115" s="94"/>
      <c r="L115" s="32"/>
      <c r="M115" s="82"/>
      <c r="N115" s="73"/>
      <c r="O115" s="84"/>
      <c r="P115" s="20"/>
    </row>
    <row r="116" hidden="1">
      <c r="B116" s="10"/>
      <c r="C116" s="42"/>
      <c r="D116" s="42"/>
      <c r="E116" s="78"/>
      <c r="F116" s="78"/>
      <c r="G116" s="95"/>
      <c r="H116" s="42"/>
      <c r="I116" s="95"/>
      <c r="J116" s="95"/>
      <c r="K116" s="96"/>
      <c r="L116" s="46"/>
      <c r="M116" s="95"/>
      <c r="N116" s="78"/>
      <c r="O116" s="97"/>
      <c r="P116" s="20"/>
    </row>
    <row r="117" hidden="1">
      <c r="B117" s="13"/>
      <c r="C117" s="29"/>
      <c r="D117" s="29"/>
      <c r="E117" s="77"/>
      <c r="F117" s="77"/>
      <c r="G117" s="82"/>
      <c r="H117" s="29"/>
      <c r="I117" s="82"/>
      <c r="J117" s="82"/>
      <c r="K117" s="94"/>
      <c r="L117" s="32"/>
      <c r="M117" s="82"/>
      <c r="N117" s="77"/>
      <c r="O117" s="84"/>
      <c r="P117" s="20"/>
    </row>
    <row r="118" hidden="1">
      <c r="B118" s="10"/>
      <c r="C118" s="42"/>
      <c r="D118" s="42"/>
      <c r="E118" s="78"/>
      <c r="F118" s="78"/>
      <c r="G118" s="95"/>
      <c r="H118" s="42"/>
      <c r="I118" s="95"/>
      <c r="J118" s="95"/>
      <c r="K118" s="96"/>
      <c r="L118" s="46"/>
      <c r="M118" s="95"/>
      <c r="N118" s="78"/>
      <c r="O118" s="97"/>
      <c r="P118" s="20"/>
    </row>
    <row r="119" hidden="1">
      <c r="B119" s="13"/>
      <c r="C119" s="29"/>
      <c r="D119" s="29"/>
      <c r="E119" s="77"/>
      <c r="F119" s="77"/>
      <c r="G119" s="82"/>
      <c r="H119" s="29"/>
      <c r="I119" s="82"/>
      <c r="J119" s="82"/>
      <c r="K119" s="94"/>
      <c r="L119" s="32"/>
      <c r="M119" s="82"/>
      <c r="N119" s="77"/>
      <c r="O119" s="84"/>
      <c r="P119" s="20"/>
    </row>
    <row r="120" hidden="1">
      <c r="B120" s="10"/>
      <c r="C120" s="42"/>
      <c r="D120" s="42"/>
      <c r="E120" s="78"/>
      <c r="F120" s="78"/>
      <c r="G120" s="95"/>
      <c r="H120" s="42"/>
      <c r="I120" s="95"/>
      <c r="J120" s="95"/>
      <c r="K120" s="96"/>
      <c r="L120" s="46"/>
      <c r="M120" s="95"/>
      <c r="N120" s="78"/>
      <c r="O120" s="97"/>
      <c r="P120" s="20"/>
    </row>
    <row r="121" hidden="1">
      <c r="B121" s="13"/>
      <c r="C121" s="29"/>
      <c r="D121" s="29"/>
      <c r="E121" s="77"/>
      <c r="F121" s="77"/>
      <c r="G121" s="82"/>
      <c r="H121" s="29"/>
      <c r="I121" s="82"/>
      <c r="J121" s="82"/>
      <c r="K121" s="94"/>
      <c r="L121" s="32"/>
      <c r="M121" s="82"/>
      <c r="N121" s="77"/>
      <c r="O121" s="84"/>
      <c r="P121" s="20"/>
    </row>
    <row r="122" hidden="1">
      <c r="B122" s="10"/>
      <c r="C122" s="42"/>
      <c r="D122" s="42"/>
      <c r="E122" s="78"/>
      <c r="F122" s="78"/>
      <c r="G122" s="95"/>
      <c r="H122" s="42"/>
      <c r="I122" s="95"/>
      <c r="J122" s="95"/>
      <c r="K122" s="96"/>
      <c r="L122" s="46"/>
      <c r="M122" s="95"/>
      <c r="N122" s="78"/>
      <c r="O122" s="97"/>
      <c r="P122" s="20"/>
    </row>
    <row r="123" hidden="1">
      <c r="B123" s="13"/>
      <c r="C123" s="29"/>
      <c r="D123" s="29"/>
      <c r="E123" s="77"/>
      <c r="F123" s="77"/>
      <c r="G123" s="82"/>
      <c r="H123" s="29"/>
      <c r="I123" s="82"/>
      <c r="J123" s="82"/>
      <c r="K123" s="94"/>
      <c r="L123" s="32"/>
      <c r="M123" s="82"/>
      <c r="N123" s="77"/>
      <c r="O123" s="84"/>
      <c r="P123" s="20"/>
    </row>
    <row r="124" hidden="1">
      <c r="B124" s="10"/>
      <c r="C124" s="42"/>
      <c r="D124" s="42"/>
      <c r="E124" s="78"/>
      <c r="F124" s="78"/>
      <c r="G124" s="95"/>
      <c r="H124" s="42"/>
      <c r="I124" s="95"/>
      <c r="J124" s="95"/>
      <c r="K124" s="96"/>
      <c r="L124" s="46"/>
      <c r="M124" s="95"/>
      <c r="N124" s="78"/>
      <c r="O124" s="97"/>
      <c r="P124" s="20"/>
    </row>
    <row r="125" hidden="1">
      <c r="B125" s="13"/>
      <c r="C125" s="29"/>
      <c r="D125" s="29"/>
      <c r="E125" s="77"/>
      <c r="F125" s="77"/>
      <c r="G125" s="82"/>
      <c r="H125" s="29"/>
      <c r="I125" s="82"/>
      <c r="J125" s="82"/>
      <c r="K125" s="94"/>
      <c r="L125" s="32"/>
      <c r="M125" s="82"/>
      <c r="N125" s="77"/>
      <c r="O125" s="84"/>
      <c r="P125" s="20"/>
    </row>
    <row r="126" hidden="1">
      <c r="B126" s="10"/>
      <c r="C126" s="42"/>
      <c r="D126" s="42"/>
      <c r="E126" s="78"/>
      <c r="F126" s="78"/>
      <c r="G126" s="95"/>
      <c r="H126" s="42"/>
      <c r="I126" s="95"/>
      <c r="J126" s="95"/>
      <c r="K126" s="96"/>
      <c r="L126" s="46"/>
      <c r="M126" s="95"/>
      <c r="N126" s="78"/>
      <c r="O126" s="97"/>
      <c r="P126" s="20"/>
    </row>
    <row r="127" hidden="1">
      <c r="B127" s="13">
        <v>77.0</v>
      </c>
      <c r="C127" s="29"/>
      <c r="D127" s="29"/>
      <c r="E127" s="72"/>
      <c r="F127" s="77"/>
      <c r="G127" s="98"/>
      <c r="H127" s="8"/>
      <c r="I127" s="82"/>
      <c r="J127" s="98"/>
      <c r="K127" s="99"/>
      <c r="L127" s="32"/>
      <c r="M127" s="82"/>
      <c r="N127" s="29"/>
      <c r="O127" s="100"/>
      <c r="P127" s="20"/>
    </row>
    <row r="128" hidden="1">
      <c r="B128" s="10">
        <v>78.0</v>
      </c>
      <c r="C128" s="42"/>
      <c r="D128" s="42"/>
      <c r="E128" s="75"/>
      <c r="F128" s="78"/>
      <c r="G128" s="101"/>
      <c r="H128" s="11"/>
      <c r="I128" s="101"/>
      <c r="J128" s="101"/>
      <c r="K128" s="102"/>
      <c r="L128" s="103"/>
      <c r="M128" s="101"/>
      <c r="N128" s="42"/>
      <c r="O128" s="104"/>
      <c r="P128" s="20"/>
    </row>
    <row r="129" hidden="1">
      <c r="B129" s="13">
        <v>79.0</v>
      </c>
      <c r="C129" s="29"/>
      <c r="D129" s="29"/>
      <c r="E129" s="72"/>
      <c r="F129" s="77"/>
      <c r="G129" s="98"/>
      <c r="H129" s="8"/>
      <c r="I129" s="98"/>
      <c r="J129" s="98"/>
      <c r="K129" s="99"/>
      <c r="L129" s="105"/>
      <c r="M129" s="98"/>
      <c r="N129" s="29"/>
      <c r="O129" s="100"/>
      <c r="P129" s="20"/>
    </row>
    <row r="130" hidden="1">
      <c r="B130" s="10">
        <v>80.0</v>
      </c>
      <c r="C130" s="42"/>
      <c r="D130" s="42"/>
      <c r="E130" s="75"/>
      <c r="F130" s="78"/>
      <c r="G130" s="101"/>
      <c r="H130" s="11"/>
      <c r="I130" s="101"/>
      <c r="J130" s="101"/>
      <c r="K130" s="102"/>
      <c r="L130" s="103"/>
      <c r="M130" s="101"/>
      <c r="N130" s="42"/>
      <c r="O130" s="104"/>
      <c r="P130" s="20"/>
    </row>
    <row r="131" hidden="1">
      <c r="B131" s="106"/>
      <c r="C131" s="29"/>
      <c r="D131" s="29"/>
      <c r="E131" s="72"/>
      <c r="F131" s="77"/>
      <c r="G131" s="98"/>
      <c r="H131" s="8"/>
      <c r="I131" s="98"/>
      <c r="J131" s="98"/>
      <c r="K131" s="99"/>
      <c r="L131" s="105"/>
      <c r="M131" s="98"/>
      <c r="N131" s="65">
        <v>45904.45695601852</v>
      </c>
      <c r="O131" s="100"/>
      <c r="P131" s="20"/>
    </row>
    <row r="132">
      <c r="B132" s="10">
        <v>97.0</v>
      </c>
      <c r="C132" s="91" t="s">
        <v>254</v>
      </c>
      <c r="D132" s="79" t="s">
        <v>292</v>
      </c>
      <c r="E132" s="78" t="s">
        <v>260</v>
      </c>
      <c r="F132" s="78" t="s">
        <v>257</v>
      </c>
      <c r="G132" s="43" t="s">
        <v>258</v>
      </c>
      <c r="H132" s="42" t="s">
        <v>249</v>
      </c>
      <c r="I132" s="43" t="s">
        <v>52</v>
      </c>
      <c r="J132" s="43" t="s">
        <v>77</v>
      </c>
      <c r="K132" s="41" t="s">
        <v>241</v>
      </c>
      <c r="L132" s="45" t="s">
        <v>44</v>
      </c>
      <c r="M132" s="43" t="s">
        <v>172</v>
      </c>
      <c r="N132" s="42" t="s">
        <v>297</v>
      </c>
      <c r="O132" s="86" t="s">
        <v>241</v>
      </c>
      <c r="P132" s="20"/>
    </row>
    <row r="133">
      <c r="B133" s="13">
        <v>98.0</v>
      </c>
      <c r="C133" s="29" t="s">
        <v>254</v>
      </c>
      <c r="D133" s="76" t="s">
        <v>292</v>
      </c>
      <c r="E133" s="77" t="s">
        <v>298</v>
      </c>
      <c r="F133" s="77" t="s">
        <v>257</v>
      </c>
      <c r="G133" s="30" t="s">
        <v>258</v>
      </c>
      <c r="H133" s="29" t="s">
        <v>249</v>
      </c>
      <c r="I133" s="30" t="s">
        <v>52</v>
      </c>
      <c r="J133" s="30" t="s">
        <v>77</v>
      </c>
      <c r="K133" s="28" t="s">
        <v>241</v>
      </c>
      <c r="L133" s="31" t="s">
        <v>44</v>
      </c>
      <c r="M133" s="30" t="s">
        <v>172</v>
      </c>
      <c r="N133" s="29" t="s">
        <v>299</v>
      </c>
      <c r="O133" s="87" t="s">
        <v>241</v>
      </c>
      <c r="P133" s="20"/>
    </row>
    <row r="134">
      <c r="B134" s="10">
        <v>99.0</v>
      </c>
      <c r="C134" s="42" t="s">
        <v>254</v>
      </c>
      <c r="D134" s="79" t="s">
        <v>300</v>
      </c>
      <c r="E134" s="78" t="s">
        <v>301</v>
      </c>
      <c r="F134" s="38" t="s">
        <v>282</v>
      </c>
      <c r="G134" s="43" t="s">
        <v>113</v>
      </c>
      <c r="H134" s="42" t="s">
        <v>240</v>
      </c>
      <c r="I134" s="43" t="s">
        <v>29</v>
      </c>
      <c r="J134" s="43" t="s">
        <v>77</v>
      </c>
      <c r="K134" s="41" t="s">
        <v>241</v>
      </c>
      <c r="L134" s="45" t="s">
        <v>44</v>
      </c>
      <c r="M134" s="43" t="s">
        <v>172</v>
      </c>
      <c r="N134" s="42" t="s">
        <v>302</v>
      </c>
      <c r="O134" s="86" t="s">
        <v>241</v>
      </c>
      <c r="P134" s="20"/>
    </row>
    <row r="135">
      <c r="B135" s="13">
        <v>100.0</v>
      </c>
      <c r="C135" s="91" t="s">
        <v>254</v>
      </c>
      <c r="D135" s="76" t="s">
        <v>300</v>
      </c>
      <c r="E135" s="77" t="s">
        <v>260</v>
      </c>
      <c r="F135" s="77" t="s">
        <v>257</v>
      </c>
      <c r="G135" s="30" t="s">
        <v>258</v>
      </c>
      <c r="H135" s="29" t="s">
        <v>249</v>
      </c>
      <c r="I135" s="30" t="s">
        <v>52</v>
      </c>
      <c r="J135" s="30" t="s">
        <v>77</v>
      </c>
      <c r="K135" s="28" t="s">
        <v>241</v>
      </c>
      <c r="L135" s="31" t="s">
        <v>44</v>
      </c>
      <c r="M135" s="30" t="s">
        <v>172</v>
      </c>
      <c r="N135" s="29" t="s">
        <v>303</v>
      </c>
      <c r="O135" s="87" t="s">
        <v>241</v>
      </c>
      <c r="P135" s="20"/>
    </row>
    <row r="136">
      <c r="B136" s="10">
        <v>101.0</v>
      </c>
      <c r="C136" s="91" t="s">
        <v>254</v>
      </c>
      <c r="D136" s="79" t="s">
        <v>300</v>
      </c>
      <c r="E136" s="38" t="s">
        <v>282</v>
      </c>
      <c r="F136" s="78" t="s">
        <v>257</v>
      </c>
      <c r="G136" s="43" t="s">
        <v>258</v>
      </c>
      <c r="H136" s="42" t="s">
        <v>249</v>
      </c>
      <c r="I136" s="43" t="s">
        <v>52</v>
      </c>
      <c r="J136" s="43" t="s">
        <v>77</v>
      </c>
      <c r="K136" s="41" t="s">
        <v>241</v>
      </c>
      <c r="L136" s="45" t="s">
        <v>44</v>
      </c>
      <c r="M136" s="43" t="s">
        <v>172</v>
      </c>
      <c r="N136" s="42" t="s">
        <v>304</v>
      </c>
      <c r="O136" s="86" t="s">
        <v>241</v>
      </c>
      <c r="P136" s="20"/>
    </row>
    <row r="137">
      <c r="B137" s="13">
        <v>102.0</v>
      </c>
      <c r="C137" s="29" t="s">
        <v>254</v>
      </c>
      <c r="D137" s="76" t="s">
        <v>305</v>
      </c>
      <c r="E137" s="77" t="s">
        <v>306</v>
      </c>
      <c r="F137" s="26" t="s">
        <v>282</v>
      </c>
      <c r="G137" s="30" t="s">
        <v>113</v>
      </c>
      <c r="H137" s="29" t="s">
        <v>240</v>
      </c>
      <c r="I137" s="30" t="s">
        <v>29</v>
      </c>
      <c r="J137" s="30" t="s">
        <v>77</v>
      </c>
      <c r="K137" s="28" t="s">
        <v>241</v>
      </c>
      <c r="L137" s="31" t="s">
        <v>44</v>
      </c>
      <c r="M137" s="30" t="s">
        <v>172</v>
      </c>
      <c r="N137" s="29" t="s">
        <v>307</v>
      </c>
      <c r="O137" s="87" t="s">
        <v>241</v>
      </c>
      <c r="P137" s="20"/>
    </row>
    <row r="138">
      <c r="B138" s="10">
        <v>103.0</v>
      </c>
      <c r="C138" s="42" t="s">
        <v>254</v>
      </c>
      <c r="D138" s="79" t="s">
        <v>305</v>
      </c>
      <c r="E138" s="78" t="s">
        <v>260</v>
      </c>
      <c r="F138" s="78" t="s">
        <v>257</v>
      </c>
      <c r="G138" s="43" t="s">
        <v>258</v>
      </c>
      <c r="H138" s="42" t="s">
        <v>249</v>
      </c>
      <c r="I138" s="43" t="s">
        <v>52</v>
      </c>
      <c r="J138" s="43" t="s">
        <v>77</v>
      </c>
      <c r="K138" s="41" t="s">
        <v>241</v>
      </c>
      <c r="L138" s="45" t="s">
        <v>44</v>
      </c>
      <c r="M138" s="43" t="s">
        <v>172</v>
      </c>
      <c r="N138" s="42" t="s">
        <v>308</v>
      </c>
      <c r="O138" s="86" t="s">
        <v>241</v>
      </c>
      <c r="P138" s="20"/>
    </row>
    <row r="139" hidden="1">
      <c r="B139" s="7"/>
      <c r="C139" s="8"/>
      <c r="D139" s="8"/>
      <c r="E139" s="8"/>
      <c r="F139" s="8"/>
      <c r="G139" s="98"/>
      <c r="H139" s="8"/>
      <c r="I139" s="98"/>
      <c r="J139" s="98"/>
      <c r="K139" s="98"/>
      <c r="L139" s="105"/>
      <c r="M139" s="98"/>
      <c r="N139" s="8"/>
      <c r="O139" s="100"/>
      <c r="P139" s="20"/>
    </row>
    <row r="140">
      <c r="B140" s="10">
        <v>104.0</v>
      </c>
      <c r="C140" s="91" t="s">
        <v>254</v>
      </c>
      <c r="D140" s="79" t="s">
        <v>305</v>
      </c>
      <c r="E140" s="78" t="s">
        <v>298</v>
      </c>
      <c r="F140" s="78" t="s">
        <v>257</v>
      </c>
      <c r="G140" s="43" t="s">
        <v>258</v>
      </c>
      <c r="H140" s="42" t="s">
        <v>249</v>
      </c>
      <c r="I140" s="43" t="s">
        <v>52</v>
      </c>
      <c r="J140" s="43" t="s">
        <v>77</v>
      </c>
      <c r="K140" s="43" t="s">
        <v>241</v>
      </c>
      <c r="L140" s="45" t="s">
        <v>44</v>
      </c>
      <c r="M140" s="43" t="s">
        <v>172</v>
      </c>
      <c r="N140" s="42" t="s">
        <v>309</v>
      </c>
      <c r="O140" s="86" t="s">
        <v>241</v>
      </c>
      <c r="P140" s="20"/>
    </row>
    <row r="141">
      <c r="B141" s="13">
        <v>105.0</v>
      </c>
      <c r="C141" s="91" t="s">
        <v>159</v>
      </c>
      <c r="D141" s="76" t="s">
        <v>310</v>
      </c>
      <c r="E141" s="77"/>
      <c r="F141" s="77" t="s">
        <v>311</v>
      </c>
      <c r="G141" s="30" t="s">
        <v>92</v>
      </c>
      <c r="H141" s="29" t="s">
        <v>312</v>
      </c>
      <c r="I141" s="30" t="s">
        <v>47</v>
      </c>
      <c r="J141" s="30" t="s">
        <v>30</v>
      </c>
      <c r="K141" s="30" t="s">
        <v>241</v>
      </c>
      <c r="L141" s="31" t="s">
        <v>44</v>
      </c>
      <c r="M141" s="30" t="s">
        <v>172</v>
      </c>
      <c r="N141" s="29" t="s">
        <v>313</v>
      </c>
      <c r="O141" s="87" t="s">
        <v>241</v>
      </c>
      <c r="P141" s="20"/>
    </row>
    <row r="142">
      <c r="B142" s="10">
        <v>106.0</v>
      </c>
      <c r="C142" s="42" t="s">
        <v>159</v>
      </c>
      <c r="D142" s="79" t="s">
        <v>310</v>
      </c>
      <c r="E142" s="78"/>
      <c r="F142" s="78" t="s">
        <v>314</v>
      </c>
      <c r="G142" s="43" t="s">
        <v>92</v>
      </c>
      <c r="H142" s="42" t="s">
        <v>315</v>
      </c>
      <c r="I142" s="43" t="s">
        <v>29</v>
      </c>
      <c r="J142" s="43" t="s">
        <v>30</v>
      </c>
      <c r="K142" s="43" t="s">
        <v>241</v>
      </c>
      <c r="L142" s="45" t="s">
        <v>44</v>
      </c>
      <c r="M142" s="43" t="s">
        <v>172</v>
      </c>
      <c r="N142" s="42" t="s">
        <v>316</v>
      </c>
      <c r="O142" s="86" t="s">
        <v>241</v>
      </c>
      <c r="P142" s="20"/>
    </row>
    <row r="143">
      <c r="B143" s="13">
        <v>107.0</v>
      </c>
      <c r="C143" s="29" t="s">
        <v>121</v>
      </c>
      <c r="D143" s="76" t="s">
        <v>317</v>
      </c>
      <c r="E143" s="77" t="s">
        <v>318</v>
      </c>
      <c r="F143" s="77" t="s">
        <v>319</v>
      </c>
      <c r="G143" s="30" t="s">
        <v>92</v>
      </c>
      <c r="H143" s="29" t="s">
        <v>315</v>
      </c>
      <c r="I143" s="30" t="s">
        <v>29</v>
      </c>
      <c r="J143" s="30" t="s">
        <v>77</v>
      </c>
      <c r="K143" s="30" t="s">
        <v>241</v>
      </c>
      <c r="L143" s="31" t="s">
        <v>44</v>
      </c>
      <c r="M143" s="30" t="s">
        <v>172</v>
      </c>
      <c r="N143" s="29" t="s">
        <v>320</v>
      </c>
      <c r="O143" s="87" t="s">
        <v>241</v>
      </c>
      <c r="P143" s="20"/>
    </row>
    <row r="144">
      <c r="B144" s="10">
        <v>108.0</v>
      </c>
      <c r="C144" s="91" t="s">
        <v>321</v>
      </c>
      <c r="D144" s="79" t="s">
        <v>322</v>
      </c>
      <c r="E144" s="78" t="s">
        <v>323</v>
      </c>
      <c r="F144" s="78" t="s">
        <v>324</v>
      </c>
      <c r="G144" s="43" t="s">
        <v>258</v>
      </c>
      <c r="H144" s="42" t="s">
        <v>249</v>
      </c>
      <c r="I144" s="43" t="s">
        <v>52</v>
      </c>
      <c r="J144" s="43" t="s">
        <v>77</v>
      </c>
      <c r="K144" s="43" t="s">
        <v>241</v>
      </c>
      <c r="L144" s="45" t="s">
        <v>44</v>
      </c>
      <c r="M144" s="43" t="s">
        <v>172</v>
      </c>
      <c r="N144" s="42" t="s">
        <v>325</v>
      </c>
      <c r="O144" s="86" t="s">
        <v>241</v>
      </c>
      <c r="P144" s="20"/>
    </row>
    <row r="145">
      <c r="B145" s="13">
        <v>109.0</v>
      </c>
      <c r="C145" s="91" t="s">
        <v>321</v>
      </c>
      <c r="D145" s="76" t="s">
        <v>326</v>
      </c>
      <c r="E145" s="77" t="s">
        <v>327</v>
      </c>
      <c r="F145" s="77" t="s">
        <v>328</v>
      </c>
      <c r="G145" s="30" t="s">
        <v>113</v>
      </c>
      <c r="H145" s="29" t="s">
        <v>240</v>
      </c>
      <c r="I145" s="30" t="s">
        <v>29</v>
      </c>
      <c r="J145" s="30" t="s">
        <v>77</v>
      </c>
      <c r="K145" s="30" t="s">
        <v>241</v>
      </c>
      <c r="L145" s="31" t="s">
        <v>44</v>
      </c>
      <c r="M145" s="30" t="s">
        <v>172</v>
      </c>
      <c r="N145" s="29" t="s">
        <v>329</v>
      </c>
      <c r="O145" s="87" t="s">
        <v>241</v>
      </c>
      <c r="P145" s="20"/>
    </row>
    <row r="146" hidden="1">
      <c r="B146" s="107"/>
      <c r="C146" s="11"/>
      <c r="D146" s="11"/>
      <c r="E146" s="11"/>
      <c r="F146" s="11"/>
      <c r="G146" s="101"/>
      <c r="H146" s="11"/>
      <c r="I146" s="101"/>
      <c r="J146" s="101"/>
      <c r="K146" s="101"/>
      <c r="L146" s="103"/>
      <c r="M146" s="101"/>
      <c r="N146" s="11"/>
      <c r="O146" s="104"/>
      <c r="P146" s="20"/>
    </row>
    <row r="147" hidden="1">
      <c r="B147" s="13">
        <v>110.0</v>
      </c>
      <c r="C147" s="8"/>
      <c r="D147" s="8"/>
      <c r="E147" s="8"/>
      <c r="F147" s="8"/>
      <c r="G147" s="98"/>
      <c r="H147" s="8"/>
      <c r="I147" s="98"/>
      <c r="J147" s="98"/>
      <c r="K147" s="98"/>
      <c r="L147" s="105"/>
      <c r="M147" s="98"/>
      <c r="N147" s="8"/>
      <c r="O147" s="100"/>
      <c r="P147" s="20"/>
    </row>
    <row r="148" hidden="1">
      <c r="B148" s="10">
        <v>111.0</v>
      </c>
      <c r="C148" s="11"/>
      <c r="D148" s="11"/>
      <c r="E148" s="11"/>
      <c r="F148" s="11"/>
      <c r="G148" s="101"/>
      <c r="H148" s="11"/>
      <c r="I148" s="101"/>
      <c r="J148" s="101"/>
      <c r="K148" s="101"/>
      <c r="L148" s="103"/>
      <c r="M148" s="101"/>
      <c r="N148" s="11"/>
      <c r="O148" s="104"/>
      <c r="P148" s="20"/>
    </row>
    <row r="149" hidden="1">
      <c r="B149" s="13">
        <v>112.0</v>
      </c>
      <c r="C149" s="8"/>
      <c r="D149" s="8"/>
      <c r="E149" s="8"/>
      <c r="F149" s="8"/>
      <c r="G149" s="98"/>
      <c r="H149" s="8"/>
      <c r="I149" s="98"/>
      <c r="J149" s="98"/>
      <c r="K149" s="98"/>
      <c r="L149" s="105"/>
      <c r="M149" s="98"/>
      <c r="N149" s="8"/>
      <c r="O149" s="100"/>
      <c r="P149" s="20"/>
    </row>
    <row r="150" hidden="1">
      <c r="B150" s="10">
        <v>113.0</v>
      </c>
      <c r="C150" s="11"/>
      <c r="D150" s="11"/>
      <c r="E150" s="11"/>
      <c r="F150" s="11"/>
      <c r="G150" s="101"/>
      <c r="H150" s="11"/>
      <c r="I150" s="101"/>
      <c r="J150" s="101"/>
      <c r="K150" s="101"/>
      <c r="L150" s="103"/>
      <c r="M150" s="101"/>
      <c r="N150" s="11"/>
      <c r="O150" s="104"/>
      <c r="P150" s="20"/>
    </row>
    <row r="151" hidden="1">
      <c r="B151" s="13">
        <v>114.0</v>
      </c>
      <c r="C151" s="8"/>
      <c r="D151" s="8"/>
      <c r="E151" s="8"/>
      <c r="F151" s="8"/>
      <c r="G151" s="98"/>
      <c r="H151" s="8"/>
      <c r="I151" s="98"/>
      <c r="J151" s="98"/>
      <c r="K151" s="98"/>
      <c r="L151" s="105"/>
      <c r="M151" s="98"/>
      <c r="N151" s="8"/>
      <c r="O151" s="100"/>
      <c r="P151" s="20"/>
    </row>
    <row r="152" hidden="1">
      <c r="B152" s="10">
        <v>115.0</v>
      </c>
      <c r="C152" s="11"/>
      <c r="D152" s="11"/>
      <c r="E152" s="11"/>
      <c r="F152" s="11"/>
      <c r="G152" s="101"/>
      <c r="H152" s="11"/>
      <c r="I152" s="101"/>
      <c r="J152" s="101"/>
      <c r="K152" s="101"/>
      <c r="L152" s="103"/>
      <c r="M152" s="101"/>
      <c r="N152" s="11"/>
      <c r="O152" s="104"/>
      <c r="P152" s="20"/>
    </row>
    <row r="153" hidden="1">
      <c r="B153" s="13">
        <v>116.0</v>
      </c>
      <c r="C153" s="8"/>
      <c r="D153" s="8"/>
      <c r="E153" s="8"/>
      <c r="F153" s="8"/>
      <c r="G153" s="98"/>
      <c r="H153" s="8"/>
      <c r="I153" s="98"/>
      <c r="J153" s="98"/>
      <c r="K153" s="98"/>
      <c r="L153" s="105"/>
      <c r="M153" s="98"/>
      <c r="N153" s="8"/>
      <c r="O153" s="100"/>
      <c r="P153" s="20"/>
    </row>
    <row r="154" hidden="1">
      <c r="B154" s="10">
        <v>117.0</v>
      </c>
      <c r="C154" s="11"/>
      <c r="D154" s="11"/>
      <c r="E154" s="11"/>
      <c r="F154" s="11"/>
      <c r="G154" s="101"/>
      <c r="H154" s="11"/>
      <c r="I154" s="101"/>
      <c r="J154" s="101"/>
      <c r="K154" s="101"/>
      <c r="L154" s="103"/>
      <c r="M154" s="101"/>
      <c r="N154" s="11"/>
      <c r="O154" s="104"/>
      <c r="P154" s="20"/>
    </row>
    <row r="155" hidden="1">
      <c r="B155" s="13">
        <v>118.0</v>
      </c>
      <c r="C155" s="8"/>
      <c r="D155" s="8"/>
      <c r="E155" s="8"/>
      <c r="F155" s="8"/>
      <c r="G155" s="98"/>
      <c r="H155" s="8"/>
      <c r="I155" s="98"/>
      <c r="J155" s="98"/>
      <c r="K155" s="98"/>
      <c r="L155" s="105"/>
      <c r="M155" s="98"/>
      <c r="N155" s="8"/>
      <c r="O155" s="100"/>
      <c r="P155" s="20"/>
    </row>
    <row r="156" hidden="1">
      <c r="B156" s="10">
        <v>119.0</v>
      </c>
      <c r="C156" s="11"/>
      <c r="D156" s="11"/>
      <c r="E156" s="11"/>
      <c r="F156" s="11"/>
      <c r="G156" s="101"/>
      <c r="H156" s="11"/>
      <c r="I156" s="101"/>
      <c r="J156" s="101"/>
      <c r="K156" s="101"/>
      <c r="L156" s="103"/>
      <c r="M156" s="101"/>
      <c r="N156" s="11"/>
      <c r="O156" s="104"/>
      <c r="P156" s="20"/>
    </row>
    <row r="157">
      <c r="B157" s="106">
        <v>110.0</v>
      </c>
      <c r="C157" s="29" t="s">
        <v>330</v>
      </c>
      <c r="D157" s="76" t="s">
        <v>331</v>
      </c>
      <c r="E157" s="29" t="s">
        <v>332</v>
      </c>
      <c r="F157" s="29" t="s">
        <v>333</v>
      </c>
      <c r="G157" s="30" t="s">
        <v>113</v>
      </c>
      <c r="H157" s="8"/>
      <c r="I157" s="30" t="s">
        <v>29</v>
      </c>
      <c r="J157" s="30" t="s">
        <v>77</v>
      </c>
      <c r="K157" s="30" t="s">
        <v>241</v>
      </c>
      <c r="L157" s="31" t="s">
        <v>44</v>
      </c>
      <c r="M157" s="30" t="s">
        <v>172</v>
      </c>
      <c r="N157" s="29" t="s">
        <v>334</v>
      </c>
      <c r="O157" s="87" t="s">
        <v>241</v>
      </c>
      <c r="P157" s="20"/>
    </row>
    <row r="158">
      <c r="B158" s="10">
        <v>111.0</v>
      </c>
      <c r="C158" s="42" t="s">
        <v>254</v>
      </c>
      <c r="D158" s="79" t="s">
        <v>335</v>
      </c>
      <c r="E158" s="42" t="s">
        <v>336</v>
      </c>
      <c r="F158" s="78" t="s">
        <v>257</v>
      </c>
      <c r="G158" s="43" t="s">
        <v>258</v>
      </c>
      <c r="H158" s="42" t="s">
        <v>249</v>
      </c>
      <c r="I158" s="43" t="s">
        <v>52</v>
      </c>
      <c r="J158" s="43" t="s">
        <v>77</v>
      </c>
      <c r="K158" s="43" t="s">
        <v>241</v>
      </c>
      <c r="L158" s="45" t="s">
        <v>44</v>
      </c>
      <c r="M158" s="43" t="s">
        <v>172</v>
      </c>
      <c r="N158" s="42" t="s">
        <v>337</v>
      </c>
      <c r="O158" s="86" t="s">
        <v>241</v>
      </c>
      <c r="P158" s="20"/>
    </row>
    <row r="159">
      <c r="B159" s="106">
        <v>112.0</v>
      </c>
      <c r="C159" s="91" t="s">
        <v>254</v>
      </c>
      <c r="D159" s="76" t="s">
        <v>300</v>
      </c>
      <c r="E159" s="29" t="s">
        <v>338</v>
      </c>
      <c r="F159" s="77" t="s">
        <v>257</v>
      </c>
      <c r="G159" s="30" t="s">
        <v>258</v>
      </c>
      <c r="H159" s="29" t="s">
        <v>249</v>
      </c>
      <c r="I159" s="30" t="s">
        <v>52</v>
      </c>
      <c r="J159" s="30" t="s">
        <v>77</v>
      </c>
      <c r="K159" s="30" t="s">
        <v>241</v>
      </c>
      <c r="L159" s="31" t="s">
        <v>44</v>
      </c>
      <c r="M159" s="30" t="s">
        <v>172</v>
      </c>
      <c r="N159" s="29" t="s">
        <v>339</v>
      </c>
      <c r="O159" s="87" t="s">
        <v>241</v>
      </c>
      <c r="P159" s="20"/>
    </row>
    <row r="160">
      <c r="B160" s="10">
        <v>113.0</v>
      </c>
      <c r="C160" s="91" t="s">
        <v>159</v>
      </c>
      <c r="D160" s="79" t="s">
        <v>340</v>
      </c>
      <c r="E160" s="42"/>
      <c r="F160" s="42" t="s">
        <v>341</v>
      </c>
      <c r="G160" s="43" t="s">
        <v>92</v>
      </c>
      <c r="H160" s="42" t="s">
        <v>315</v>
      </c>
      <c r="I160" s="43" t="s">
        <v>29</v>
      </c>
      <c r="J160" s="43" t="s">
        <v>30</v>
      </c>
      <c r="K160" s="43" t="s">
        <v>241</v>
      </c>
      <c r="L160" s="45" t="s">
        <v>44</v>
      </c>
      <c r="M160" s="43" t="s">
        <v>172</v>
      </c>
      <c r="N160" s="42" t="s">
        <v>342</v>
      </c>
      <c r="O160" s="86" t="s">
        <v>241</v>
      </c>
      <c r="P160" s="20"/>
    </row>
    <row r="161">
      <c r="B161" s="106">
        <v>114.0</v>
      </c>
      <c r="C161" s="29" t="s">
        <v>159</v>
      </c>
      <c r="D161" s="76" t="s">
        <v>343</v>
      </c>
      <c r="E161" s="29"/>
      <c r="F161" s="29" t="s">
        <v>344</v>
      </c>
      <c r="G161" s="30" t="s">
        <v>120</v>
      </c>
      <c r="H161" s="29" t="s">
        <v>240</v>
      </c>
      <c r="I161" s="30" t="s">
        <v>29</v>
      </c>
      <c r="J161" s="30" t="s">
        <v>30</v>
      </c>
      <c r="K161" s="30" t="s">
        <v>241</v>
      </c>
      <c r="L161" s="31" t="s">
        <v>44</v>
      </c>
      <c r="M161" s="30" t="s">
        <v>172</v>
      </c>
      <c r="N161" s="29" t="s">
        <v>345</v>
      </c>
      <c r="O161" s="87" t="s">
        <v>241</v>
      </c>
      <c r="P161" s="20"/>
    </row>
    <row r="162">
      <c r="B162" s="10">
        <v>115.0</v>
      </c>
      <c r="C162" s="42" t="s">
        <v>159</v>
      </c>
      <c r="D162" s="79" t="s">
        <v>346</v>
      </c>
      <c r="E162" s="42"/>
      <c r="F162" s="42" t="s">
        <v>311</v>
      </c>
      <c r="G162" s="43" t="s">
        <v>92</v>
      </c>
      <c r="H162" s="42" t="s">
        <v>312</v>
      </c>
      <c r="I162" s="43" t="s">
        <v>47</v>
      </c>
      <c r="J162" s="43" t="s">
        <v>30</v>
      </c>
      <c r="K162" s="43" t="s">
        <v>241</v>
      </c>
      <c r="L162" s="45" t="s">
        <v>44</v>
      </c>
      <c r="M162" s="43" t="s">
        <v>172</v>
      </c>
      <c r="N162" s="42" t="s">
        <v>347</v>
      </c>
      <c r="O162" s="86" t="s">
        <v>241</v>
      </c>
      <c r="P162" s="20"/>
    </row>
    <row r="163">
      <c r="B163" s="106">
        <v>116.0</v>
      </c>
      <c r="C163" s="91" t="s">
        <v>159</v>
      </c>
      <c r="D163" s="108" t="s">
        <v>346</v>
      </c>
      <c r="E163" s="29"/>
      <c r="F163" s="29" t="s">
        <v>348</v>
      </c>
      <c r="G163" s="30" t="s">
        <v>92</v>
      </c>
      <c r="H163" s="29" t="s">
        <v>249</v>
      </c>
      <c r="I163" s="30" t="s">
        <v>52</v>
      </c>
      <c r="J163" s="30" t="s">
        <v>30</v>
      </c>
      <c r="K163" s="30" t="s">
        <v>241</v>
      </c>
      <c r="L163" s="31" t="s">
        <v>44</v>
      </c>
      <c r="M163" s="30" t="s">
        <v>175</v>
      </c>
      <c r="N163" s="29" t="s">
        <v>349</v>
      </c>
      <c r="O163" s="87" t="s">
        <v>241</v>
      </c>
      <c r="P163" s="20"/>
    </row>
    <row r="164" hidden="1">
      <c r="B164" s="10">
        <v>117.0</v>
      </c>
      <c r="C164" s="42" t="s">
        <v>350</v>
      </c>
      <c r="D164" s="79" t="s">
        <v>351</v>
      </c>
      <c r="E164" s="42"/>
      <c r="F164" s="42" t="s">
        <v>352</v>
      </c>
      <c r="G164" s="101"/>
      <c r="H164" s="11"/>
      <c r="I164" s="101"/>
      <c r="J164" s="101"/>
      <c r="K164" s="101"/>
      <c r="L164" s="103"/>
      <c r="M164" s="101"/>
      <c r="N164" s="66">
        <v>45693.476435185185</v>
      </c>
      <c r="O164" s="104"/>
      <c r="P164" s="20"/>
    </row>
    <row r="165" hidden="1">
      <c r="B165" s="13">
        <v>118.0</v>
      </c>
      <c r="C165" s="29"/>
      <c r="D165" s="29"/>
      <c r="E165" s="29"/>
      <c r="F165" s="29"/>
      <c r="G165" s="98"/>
      <c r="H165" s="8"/>
      <c r="I165" s="98"/>
      <c r="J165" s="98"/>
      <c r="K165" s="98"/>
      <c r="L165" s="105"/>
      <c r="M165" s="98"/>
      <c r="N165" s="29"/>
      <c r="O165" s="100"/>
      <c r="P165" s="20"/>
    </row>
    <row r="166" hidden="1">
      <c r="B166" s="109">
        <v>119.0</v>
      </c>
      <c r="C166" s="42"/>
      <c r="D166" s="42"/>
      <c r="E166" s="42"/>
      <c r="F166" s="42"/>
      <c r="G166" s="101"/>
      <c r="H166" s="11"/>
      <c r="I166" s="101"/>
      <c r="J166" s="101"/>
      <c r="K166" s="101"/>
      <c r="L166" s="103"/>
      <c r="M166" s="101"/>
      <c r="N166" s="42"/>
      <c r="O166" s="104"/>
      <c r="P166" s="20"/>
    </row>
    <row r="167" hidden="1">
      <c r="B167" s="13">
        <v>120.0</v>
      </c>
      <c r="C167" s="29"/>
      <c r="D167" s="29"/>
      <c r="E167" s="29"/>
      <c r="F167" s="29"/>
      <c r="G167" s="98"/>
      <c r="H167" s="8"/>
      <c r="I167" s="98"/>
      <c r="J167" s="98"/>
      <c r="K167" s="98"/>
      <c r="L167" s="105"/>
      <c r="M167" s="98"/>
      <c r="N167" s="29"/>
      <c r="O167" s="100"/>
      <c r="P167" s="20"/>
    </row>
    <row r="168" hidden="1">
      <c r="B168" s="10">
        <v>121.0</v>
      </c>
      <c r="C168" s="42"/>
      <c r="D168" s="42"/>
      <c r="E168" s="42"/>
      <c r="F168" s="42"/>
      <c r="G168" s="101"/>
      <c r="H168" s="11"/>
      <c r="I168" s="101"/>
      <c r="J168" s="101"/>
      <c r="K168" s="101"/>
      <c r="L168" s="103"/>
      <c r="M168" s="101"/>
      <c r="N168" s="42"/>
      <c r="O168" s="104"/>
      <c r="P168" s="20"/>
    </row>
    <row r="169" hidden="1">
      <c r="B169" s="106">
        <v>122.0</v>
      </c>
      <c r="C169" s="29"/>
      <c r="D169" s="29"/>
      <c r="E169" s="29"/>
      <c r="F169" s="29"/>
      <c r="G169" s="98"/>
      <c r="H169" s="8"/>
      <c r="I169" s="98"/>
      <c r="J169" s="98"/>
      <c r="K169" s="98"/>
      <c r="L169" s="105"/>
      <c r="M169" s="98"/>
      <c r="N169" s="29"/>
      <c r="O169" s="100"/>
      <c r="P169" s="20"/>
    </row>
    <row r="170" hidden="1">
      <c r="B170" s="10">
        <v>123.0</v>
      </c>
      <c r="C170" s="42"/>
      <c r="D170" s="42"/>
      <c r="E170" s="42"/>
      <c r="F170" s="42"/>
      <c r="G170" s="101"/>
      <c r="H170" s="11"/>
      <c r="I170" s="101"/>
      <c r="J170" s="101"/>
      <c r="K170" s="101"/>
      <c r="L170" s="103"/>
      <c r="M170" s="101"/>
      <c r="N170" s="42"/>
      <c r="O170" s="104"/>
      <c r="P170" s="20"/>
    </row>
    <row r="171" hidden="1">
      <c r="B171" s="13">
        <v>124.0</v>
      </c>
      <c r="C171" s="29"/>
      <c r="D171" s="29"/>
      <c r="E171" s="29"/>
      <c r="F171" s="29"/>
      <c r="G171" s="98"/>
      <c r="H171" s="8"/>
      <c r="I171" s="98"/>
      <c r="J171" s="98"/>
      <c r="K171" s="98"/>
      <c r="L171" s="105"/>
      <c r="M171" s="98"/>
      <c r="N171" s="29"/>
      <c r="O171" s="100"/>
      <c r="P171" s="20"/>
    </row>
    <row r="172" hidden="1">
      <c r="B172" s="109">
        <v>125.0</v>
      </c>
      <c r="C172" s="42"/>
      <c r="D172" s="42"/>
      <c r="E172" s="42"/>
      <c r="F172" s="42"/>
      <c r="G172" s="101"/>
      <c r="H172" s="11"/>
      <c r="I172" s="101"/>
      <c r="J172" s="101"/>
      <c r="K172" s="101"/>
      <c r="L172" s="103"/>
      <c r="M172" s="101"/>
      <c r="N172" s="42"/>
      <c r="O172" s="104"/>
      <c r="P172" s="20"/>
    </row>
    <row r="173" hidden="1">
      <c r="B173" s="13">
        <v>126.0</v>
      </c>
      <c r="C173" s="29"/>
      <c r="D173" s="29"/>
      <c r="E173" s="29"/>
      <c r="F173" s="29"/>
      <c r="G173" s="98"/>
      <c r="H173" s="8"/>
      <c r="I173" s="98"/>
      <c r="J173" s="98"/>
      <c r="K173" s="98"/>
      <c r="L173" s="105"/>
      <c r="M173" s="98"/>
      <c r="N173" s="29"/>
      <c r="O173" s="100"/>
      <c r="P173" s="20"/>
    </row>
    <row r="174" hidden="1">
      <c r="B174" s="10">
        <v>127.0</v>
      </c>
      <c r="C174" s="42"/>
      <c r="D174" s="42"/>
      <c r="E174" s="42"/>
      <c r="F174" s="42"/>
      <c r="G174" s="101"/>
      <c r="H174" s="11"/>
      <c r="I174" s="101"/>
      <c r="J174" s="101"/>
      <c r="K174" s="101"/>
      <c r="L174" s="103"/>
      <c r="M174" s="101"/>
      <c r="N174" s="42"/>
      <c r="O174" s="104"/>
      <c r="P174" s="20"/>
    </row>
    <row r="175" hidden="1">
      <c r="B175" s="106">
        <v>128.0</v>
      </c>
      <c r="C175" s="29"/>
      <c r="D175" s="29"/>
      <c r="E175" s="29"/>
      <c r="F175" s="29"/>
      <c r="G175" s="98"/>
      <c r="H175" s="8"/>
      <c r="I175" s="98"/>
      <c r="J175" s="98"/>
      <c r="K175" s="98"/>
      <c r="L175" s="105"/>
      <c r="M175" s="98"/>
      <c r="N175" s="29"/>
      <c r="O175" s="100"/>
      <c r="P175" s="20"/>
    </row>
    <row r="176" hidden="1">
      <c r="B176" s="10">
        <v>129.0</v>
      </c>
      <c r="C176" s="42"/>
      <c r="D176" s="42"/>
      <c r="E176" s="42"/>
      <c r="F176" s="42"/>
      <c r="G176" s="101"/>
      <c r="H176" s="11"/>
      <c r="I176" s="101"/>
      <c r="J176" s="101"/>
      <c r="K176" s="101"/>
      <c r="L176" s="103"/>
      <c r="M176" s="101"/>
      <c r="N176" s="42"/>
      <c r="O176" s="104"/>
      <c r="P176" s="20"/>
    </row>
    <row r="177" hidden="1">
      <c r="B177" s="13">
        <v>130.0</v>
      </c>
      <c r="C177" s="29"/>
      <c r="D177" s="29"/>
      <c r="E177" s="29"/>
      <c r="F177" s="29"/>
      <c r="G177" s="98"/>
      <c r="H177" s="8"/>
      <c r="I177" s="98"/>
      <c r="J177" s="98"/>
      <c r="K177" s="98"/>
      <c r="L177" s="105"/>
      <c r="M177" s="98"/>
      <c r="N177" s="29"/>
      <c r="O177" s="100"/>
      <c r="P177" s="20"/>
    </row>
    <row r="178" hidden="1">
      <c r="B178" s="109">
        <v>131.0</v>
      </c>
      <c r="C178" s="42"/>
      <c r="D178" s="42"/>
      <c r="E178" s="42"/>
      <c r="F178" s="42"/>
      <c r="G178" s="101"/>
      <c r="H178" s="11"/>
      <c r="I178" s="101"/>
      <c r="J178" s="101"/>
      <c r="K178" s="101"/>
      <c r="L178" s="103"/>
      <c r="M178" s="101"/>
      <c r="N178" s="42"/>
      <c r="O178" s="104"/>
      <c r="P178" s="20"/>
    </row>
    <row r="179" hidden="1">
      <c r="B179" s="13">
        <v>132.0</v>
      </c>
      <c r="C179" s="29"/>
      <c r="D179" s="29"/>
      <c r="E179" s="29"/>
      <c r="F179" s="29"/>
      <c r="G179" s="98"/>
      <c r="H179" s="8"/>
      <c r="I179" s="98"/>
      <c r="J179" s="98"/>
      <c r="K179" s="98"/>
      <c r="L179" s="105"/>
      <c r="M179" s="98"/>
      <c r="N179" s="29"/>
      <c r="O179" s="100"/>
      <c r="P179" s="20"/>
    </row>
    <row r="180" hidden="1">
      <c r="B180" s="10">
        <v>133.0</v>
      </c>
      <c r="C180" s="42"/>
      <c r="D180" s="42"/>
      <c r="E180" s="42"/>
      <c r="F180" s="42"/>
      <c r="G180" s="101"/>
      <c r="H180" s="11"/>
      <c r="I180" s="101"/>
      <c r="J180" s="101"/>
      <c r="K180" s="101"/>
      <c r="L180" s="103"/>
      <c r="M180" s="101"/>
      <c r="N180" s="42"/>
      <c r="O180" s="104"/>
      <c r="P180" s="20"/>
    </row>
    <row r="181" hidden="1">
      <c r="B181" s="106">
        <v>134.0</v>
      </c>
      <c r="C181" s="29"/>
      <c r="D181" s="29"/>
      <c r="E181" s="29"/>
      <c r="F181" s="29"/>
      <c r="G181" s="98"/>
      <c r="H181" s="8"/>
      <c r="I181" s="98"/>
      <c r="J181" s="98"/>
      <c r="K181" s="98"/>
      <c r="L181" s="105"/>
      <c r="M181" s="98"/>
      <c r="N181" s="29"/>
      <c r="O181" s="100"/>
      <c r="P181" s="20"/>
    </row>
    <row r="182">
      <c r="B182" s="10">
        <v>117.0</v>
      </c>
      <c r="C182" s="110" t="s">
        <v>353</v>
      </c>
      <c r="D182" s="111" t="s">
        <v>354</v>
      </c>
      <c r="E182" s="112" t="s">
        <v>355</v>
      </c>
      <c r="F182" s="112" t="s">
        <v>62</v>
      </c>
      <c r="G182" s="113" t="s">
        <v>63</v>
      </c>
      <c r="H182" s="114"/>
      <c r="I182" s="115" t="s">
        <v>56</v>
      </c>
      <c r="J182" s="116" t="s">
        <v>77</v>
      </c>
      <c r="K182" s="117" t="s">
        <v>241</v>
      </c>
      <c r="L182" s="45" t="s">
        <v>44</v>
      </c>
      <c r="M182" s="43" t="s">
        <v>175</v>
      </c>
      <c r="N182" s="118" t="s">
        <v>356</v>
      </c>
      <c r="O182" s="86" t="s">
        <v>241</v>
      </c>
      <c r="P182" s="20"/>
    </row>
    <row r="183">
      <c r="B183" s="106">
        <v>118.0</v>
      </c>
      <c r="C183" s="119" t="s">
        <v>353</v>
      </c>
      <c r="D183" s="111" t="s">
        <v>354</v>
      </c>
      <c r="E183" s="120" t="s">
        <v>357</v>
      </c>
      <c r="F183" s="120" t="s">
        <v>62</v>
      </c>
      <c r="G183" s="121" t="s">
        <v>63</v>
      </c>
      <c r="H183" s="122"/>
      <c r="I183" s="115" t="s">
        <v>56</v>
      </c>
      <c r="J183" s="123" t="s">
        <v>77</v>
      </c>
      <c r="K183" s="124" t="s">
        <v>241</v>
      </c>
      <c r="L183" s="31" t="s">
        <v>44</v>
      </c>
      <c r="M183" s="30" t="s">
        <v>175</v>
      </c>
      <c r="N183" s="125" t="s">
        <v>358</v>
      </c>
      <c r="O183" s="87" t="s">
        <v>241</v>
      </c>
      <c r="P183" s="20"/>
    </row>
    <row r="184">
      <c r="B184" s="10">
        <v>119.0</v>
      </c>
      <c r="C184" s="126" t="s">
        <v>353</v>
      </c>
      <c r="D184" s="111" t="s">
        <v>354</v>
      </c>
      <c r="E184" s="112" t="s">
        <v>359</v>
      </c>
      <c r="F184" s="112" t="s">
        <v>62</v>
      </c>
      <c r="G184" s="113" t="s">
        <v>63</v>
      </c>
      <c r="H184" s="114"/>
      <c r="I184" s="115" t="s">
        <v>56</v>
      </c>
      <c r="J184" s="116" t="s">
        <v>77</v>
      </c>
      <c r="K184" s="117" t="s">
        <v>241</v>
      </c>
      <c r="L184" s="45" t="s">
        <v>44</v>
      </c>
      <c r="M184" s="43" t="s">
        <v>175</v>
      </c>
      <c r="N184" s="127">
        <v>45874.63821759259</v>
      </c>
      <c r="O184" s="86" t="s">
        <v>241</v>
      </c>
      <c r="P184" s="20"/>
    </row>
    <row r="185">
      <c r="B185" s="106">
        <v>120.0</v>
      </c>
      <c r="C185" s="128" t="s">
        <v>353</v>
      </c>
      <c r="D185" s="111" t="s">
        <v>354</v>
      </c>
      <c r="E185" s="120" t="s">
        <v>360</v>
      </c>
      <c r="F185" s="120" t="s">
        <v>62</v>
      </c>
      <c r="G185" s="121" t="s">
        <v>63</v>
      </c>
      <c r="H185" s="122"/>
      <c r="I185" s="115" t="s">
        <v>56</v>
      </c>
      <c r="J185" s="123" t="s">
        <v>77</v>
      </c>
      <c r="K185" s="117" t="s">
        <v>241</v>
      </c>
      <c r="L185" s="31" t="s">
        <v>44</v>
      </c>
      <c r="M185" s="30" t="s">
        <v>175</v>
      </c>
      <c r="N185" s="129">
        <v>45874.63820601852</v>
      </c>
      <c r="O185" s="87" t="s">
        <v>241</v>
      </c>
      <c r="P185" s="20"/>
    </row>
    <row r="186">
      <c r="B186" s="10">
        <v>121.0</v>
      </c>
      <c r="C186" s="110" t="s">
        <v>353</v>
      </c>
      <c r="D186" s="111" t="s">
        <v>354</v>
      </c>
      <c r="E186" s="112" t="s">
        <v>361</v>
      </c>
      <c r="F186" s="112" t="s">
        <v>62</v>
      </c>
      <c r="G186" s="113" t="s">
        <v>63</v>
      </c>
      <c r="H186" s="114"/>
      <c r="I186" s="115" t="s">
        <v>56</v>
      </c>
      <c r="J186" s="130" t="s">
        <v>77</v>
      </c>
      <c r="K186" s="117" t="s">
        <v>241</v>
      </c>
      <c r="L186" s="45" t="s">
        <v>44</v>
      </c>
      <c r="M186" s="43" t="s">
        <v>175</v>
      </c>
      <c r="N186" s="127">
        <v>45874.638344907406</v>
      </c>
      <c r="O186" s="86" t="s">
        <v>241</v>
      </c>
      <c r="P186" s="20"/>
    </row>
    <row r="187">
      <c r="B187" s="106">
        <v>122.0</v>
      </c>
      <c r="C187" s="119" t="s">
        <v>353</v>
      </c>
      <c r="D187" s="111" t="s">
        <v>354</v>
      </c>
      <c r="E187" s="120" t="s">
        <v>362</v>
      </c>
      <c r="F187" s="120" t="s">
        <v>62</v>
      </c>
      <c r="G187" s="121" t="s">
        <v>63</v>
      </c>
      <c r="H187" s="122"/>
      <c r="I187" s="115" t="s">
        <v>56</v>
      </c>
      <c r="J187" s="131" t="s">
        <v>77</v>
      </c>
      <c r="K187" s="117" t="s">
        <v>241</v>
      </c>
      <c r="L187" s="31" t="s">
        <v>44</v>
      </c>
      <c r="M187" s="30" t="s">
        <v>175</v>
      </c>
      <c r="N187" s="129">
        <v>45874.63849537037</v>
      </c>
      <c r="O187" s="87" t="s">
        <v>241</v>
      </c>
      <c r="P187" s="20"/>
    </row>
    <row r="188">
      <c r="B188" s="10">
        <v>123.0</v>
      </c>
      <c r="C188" s="126" t="s">
        <v>353</v>
      </c>
      <c r="D188" s="132" t="s">
        <v>363</v>
      </c>
      <c r="E188" s="38" t="s">
        <v>364</v>
      </c>
      <c r="F188" s="38" t="s">
        <v>62</v>
      </c>
      <c r="G188" s="130" t="s">
        <v>63</v>
      </c>
      <c r="H188" s="114"/>
      <c r="I188" s="115" t="s">
        <v>56</v>
      </c>
      <c r="J188" s="130" t="s">
        <v>77</v>
      </c>
      <c r="K188" s="117" t="s">
        <v>241</v>
      </c>
      <c r="L188" s="45" t="s">
        <v>44</v>
      </c>
      <c r="M188" s="43" t="s">
        <v>175</v>
      </c>
      <c r="N188" s="133">
        <v>45874.441157407404</v>
      </c>
      <c r="O188" s="86" t="s">
        <v>241</v>
      </c>
      <c r="P188" s="20"/>
    </row>
    <row r="189">
      <c r="B189" s="106">
        <v>124.0</v>
      </c>
      <c r="C189" s="128" t="s">
        <v>353</v>
      </c>
      <c r="D189" s="111" t="s">
        <v>354</v>
      </c>
      <c r="E189" s="29" t="s">
        <v>365</v>
      </c>
      <c r="F189" s="29"/>
      <c r="G189" s="30" t="s">
        <v>69</v>
      </c>
      <c r="H189" s="8"/>
      <c r="I189" s="131" t="s">
        <v>52</v>
      </c>
      <c r="J189" s="130" t="s">
        <v>77</v>
      </c>
      <c r="K189" s="117" t="s">
        <v>241</v>
      </c>
      <c r="L189" s="31" t="s">
        <v>44</v>
      </c>
      <c r="M189" s="30" t="s">
        <v>175</v>
      </c>
      <c r="N189" s="65">
        <v>45874.44105324074</v>
      </c>
      <c r="O189" s="87" t="s">
        <v>241</v>
      </c>
      <c r="P189" s="20"/>
    </row>
    <row r="190">
      <c r="B190" s="10">
        <v>125.0</v>
      </c>
      <c r="C190" s="110" t="s">
        <v>353</v>
      </c>
      <c r="D190" s="111" t="s">
        <v>354</v>
      </c>
      <c r="E190" s="42" t="s">
        <v>366</v>
      </c>
      <c r="F190" s="42"/>
      <c r="G190" s="43" t="s">
        <v>69</v>
      </c>
      <c r="H190" s="11"/>
      <c r="I190" s="131" t="s">
        <v>52</v>
      </c>
      <c r="J190" s="130" t="s">
        <v>77</v>
      </c>
      <c r="K190" s="117" t="s">
        <v>241</v>
      </c>
      <c r="L190" s="45" t="s">
        <v>44</v>
      </c>
      <c r="M190" s="43" t="s">
        <v>175</v>
      </c>
      <c r="N190" s="66">
        <v>45874.63931712963</v>
      </c>
      <c r="O190" s="86" t="s">
        <v>241</v>
      </c>
      <c r="P190" s="20"/>
    </row>
    <row r="191">
      <c r="B191" s="106">
        <v>126.0</v>
      </c>
      <c r="C191" s="119" t="s">
        <v>353</v>
      </c>
      <c r="D191" s="76" t="s">
        <v>367</v>
      </c>
      <c r="E191" s="29" t="s">
        <v>368</v>
      </c>
      <c r="F191" s="29" t="s">
        <v>62</v>
      </c>
      <c r="G191" s="30" t="s">
        <v>63</v>
      </c>
      <c r="H191" s="8"/>
      <c r="I191" s="115" t="s">
        <v>56</v>
      </c>
      <c r="J191" s="130" t="s">
        <v>77</v>
      </c>
      <c r="K191" s="117" t="s">
        <v>241</v>
      </c>
      <c r="L191" s="31" t="s">
        <v>44</v>
      </c>
      <c r="M191" s="30" t="s">
        <v>175</v>
      </c>
      <c r="N191" s="65">
        <v>45874.63903935185</v>
      </c>
      <c r="O191" s="87" t="s">
        <v>241</v>
      </c>
      <c r="P191" s="20"/>
    </row>
    <row r="192">
      <c r="B192" s="10">
        <v>127.0</v>
      </c>
      <c r="C192" s="126" t="s">
        <v>353</v>
      </c>
      <c r="D192" s="79" t="s">
        <v>367</v>
      </c>
      <c r="E192" s="42" t="s">
        <v>369</v>
      </c>
      <c r="F192" s="42" t="s">
        <v>62</v>
      </c>
      <c r="G192" s="43" t="s">
        <v>63</v>
      </c>
      <c r="H192" s="11"/>
      <c r="I192" s="115" t="s">
        <v>56</v>
      </c>
      <c r="J192" s="130" t="s">
        <v>77</v>
      </c>
      <c r="K192" s="117" t="s">
        <v>241</v>
      </c>
      <c r="L192" s="45" t="s">
        <v>44</v>
      </c>
      <c r="M192" s="43" t="s">
        <v>175</v>
      </c>
      <c r="N192" s="66">
        <v>45874.63880787037</v>
      </c>
      <c r="O192" s="86" t="s">
        <v>241</v>
      </c>
      <c r="P192" s="20"/>
    </row>
    <row r="193">
      <c r="B193" s="106">
        <v>128.0</v>
      </c>
      <c r="C193" s="128" t="s">
        <v>353</v>
      </c>
      <c r="D193" s="76" t="s">
        <v>367</v>
      </c>
      <c r="E193" s="29" t="s">
        <v>370</v>
      </c>
      <c r="F193" s="29" t="s">
        <v>62</v>
      </c>
      <c r="G193" s="30" t="s">
        <v>63</v>
      </c>
      <c r="H193" s="8"/>
      <c r="I193" s="115" t="s">
        <v>56</v>
      </c>
      <c r="J193" s="130" t="s">
        <v>77</v>
      </c>
      <c r="K193" s="117" t="s">
        <v>241</v>
      </c>
      <c r="L193" s="31" t="s">
        <v>44</v>
      </c>
      <c r="M193" s="30" t="s">
        <v>175</v>
      </c>
      <c r="N193" s="65">
        <v>45874.639328703706</v>
      </c>
      <c r="O193" s="87" t="s">
        <v>241</v>
      </c>
      <c r="P193" s="20"/>
    </row>
    <row r="194">
      <c r="B194" s="10">
        <v>129.0</v>
      </c>
      <c r="C194" s="110" t="s">
        <v>353</v>
      </c>
      <c r="D194" s="79" t="s">
        <v>371</v>
      </c>
      <c r="E194" s="42" t="s">
        <v>372</v>
      </c>
      <c r="F194" s="42" t="s">
        <v>62</v>
      </c>
      <c r="G194" s="43" t="s">
        <v>63</v>
      </c>
      <c r="H194" s="11"/>
      <c r="I194" s="115" t="s">
        <v>56</v>
      </c>
      <c r="J194" s="130" t="s">
        <v>77</v>
      </c>
      <c r="K194" s="117" t="s">
        <v>241</v>
      </c>
      <c r="L194" s="45" t="s">
        <v>44</v>
      </c>
      <c r="M194" s="43" t="s">
        <v>175</v>
      </c>
      <c r="N194" s="66">
        <v>45874.63935185185</v>
      </c>
      <c r="O194" s="86" t="s">
        <v>241</v>
      </c>
      <c r="P194" s="20"/>
    </row>
    <row r="195">
      <c r="B195" s="13">
        <v>130.0</v>
      </c>
      <c r="C195" s="119" t="s">
        <v>353</v>
      </c>
      <c r="D195" s="76" t="s">
        <v>371</v>
      </c>
      <c r="E195" s="29"/>
      <c r="F195" s="29" t="s">
        <v>62</v>
      </c>
      <c r="G195" s="30" t="s">
        <v>63</v>
      </c>
      <c r="H195" s="8"/>
      <c r="I195" s="115" t="s">
        <v>56</v>
      </c>
      <c r="J195" s="130" t="s">
        <v>77</v>
      </c>
      <c r="K195" s="117" t="s">
        <v>241</v>
      </c>
      <c r="L195" s="31" t="s">
        <v>44</v>
      </c>
      <c r="M195" s="30" t="s">
        <v>175</v>
      </c>
      <c r="N195" s="65">
        <v>45874.47494212963</v>
      </c>
      <c r="O195" s="87" t="s">
        <v>241</v>
      </c>
      <c r="P195" s="20"/>
    </row>
    <row r="196">
      <c r="B196" s="109">
        <v>131.0</v>
      </c>
      <c r="C196" s="126" t="s">
        <v>353</v>
      </c>
      <c r="D196" s="79" t="s">
        <v>371</v>
      </c>
      <c r="E196" s="42"/>
      <c r="F196" s="42" t="s">
        <v>62</v>
      </c>
      <c r="G196" s="43" t="s">
        <v>63</v>
      </c>
      <c r="H196" s="11"/>
      <c r="I196" s="115" t="s">
        <v>56</v>
      </c>
      <c r="J196" s="130" t="s">
        <v>77</v>
      </c>
      <c r="K196" s="117" t="s">
        <v>241</v>
      </c>
      <c r="L196" s="45" t="s">
        <v>44</v>
      </c>
      <c r="M196" s="43" t="s">
        <v>175</v>
      </c>
      <c r="N196" s="66">
        <v>45874.474907407406</v>
      </c>
      <c r="O196" s="86" t="s">
        <v>241</v>
      </c>
      <c r="P196" s="20"/>
    </row>
    <row r="197">
      <c r="B197" s="13">
        <v>132.0</v>
      </c>
      <c r="C197" s="119" t="s">
        <v>353</v>
      </c>
      <c r="D197" s="111" t="s">
        <v>354</v>
      </c>
      <c r="E197" s="29" t="s">
        <v>373</v>
      </c>
      <c r="F197" s="29" t="s">
        <v>62</v>
      </c>
      <c r="G197" s="30" t="s">
        <v>63</v>
      </c>
      <c r="H197" s="8"/>
      <c r="I197" s="115" t="s">
        <v>56</v>
      </c>
      <c r="J197" s="130" t="s">
        <v>77</v>
      </c>
      <c r="K197" s="117" t="s">
        <v>241</v>
      </c>
      <c r="L197" s="31" t="s">
        <v>44</v>
      </c>
      <c r="M197" s="30" t="s">
        <v>175</v>
      </c>
      <c r="N197" s="65">
        <v>45874.63961805555</v>
      </c>
      <c r="O197" s="87" t="s">
        <v>241</v>
      </c>
      <c r="P197" s="20"/>
    </row>
    <row r="198">
      <c r="B198" s="10">
        <v>133.0</v>
      </c>
      <c r="C198" s="126" t="s">
        <v>353</v>
      </c>
      <c r="D198" s="79" t="s">
        <v>374</v>
      </c>
      <c r="E198" s="42"/>
      <c r="F198" s="42" t="s">
        <v>26</v>
      </c>
      <c r="G198" s="43" t="s">
        <v>27</v>
      </c>
      <c r="H198" s="11"/>
      <c r="I198" s="43" t="s">
        <v>29</v>
      </c>
      <c r="J198" s="43" t="s">
        <v>77</v>
      </c>
      <c r="K198" s="43" t="s">
        <v>241</v>
      </c>
      <c r="L198" s="45" t="s">
        <v>44</v>
      </c>
      <c r="M198" s="43" t="s">
        <v>175</v>
      </c>
      <c r="N198" s="66">
        <v>45874.66587962963</v>
      </c>
      <c r="O198" s="86" t="s">
        <v>241</v>
      </c>
      <c r="P198" s="20"/>
    </row>
    <row r="199">
      <c r="B199" s="106">
        <v>134.0</v>
      </c>
      <c r="C199" s="119" t="s">
        <v>353</v>
      </c>
      <c r="D199" s="76" t="s">
        <v>375</v>
      </c>
      <c r="E199" s="29" t="s">
        <v>376</v>
      </c>
      <c r="F199" s="29" t="s">
        <v>377</v>
      </c>
      <c r="G199" s="30" t="s">
        <v>258</v>
      </c>
      <c r="H199" s="8"/>
      <c r="I199" s="30" t="s">
        <v>29</v>
      </c>
      <c r="J199" s="30" t="s">
        <v>77</v>
      </c>
      <c r="K199" s="30" t="s">
        <v>241</v>
      </c>
      <c r="L199" s="31" t="s">
        <v>44</v>
      </c>
      <c r="M199" s="30" t="s">
        <v>175</v>
      </c>
      <c r="N199" s="65">
        <v>45874.69087962963</v>
      </c>
      <c r="O199" s="87" t="s">
        <v>241</v>
      </c>
      <c r="P199" s="20"/>
    </row>
    <row r="200">
      <c r="B200" s="10">
        <v>135.0</v>
      </c>
      <c r="C200" s="119" t="s">
        <v>353</v>
      </c>
      <c r="D200" s="79" t="s">
        <v>378</v>
      </c>
      <c r="E200" s="42" t="s">
        <v>376</v>
      </c>
      <c r="F200" s="42" t="s">
        <v>377</v>
      </c>
      <c r="G200" s="43" t="s">
        <v>258</v>
      </c>
      <c r="H200" s="11"/>
      <c r="I200" s="43" t="s">
        <v>29</v>
      </c>
      <c r="J200" s="43" t="s">
        <v>77</v>
      </c>
      <c r="K200" s="43" t="s">
        <v>241</v>
      </c>
      <c r="L200" s="45" t="s">
        <v>44</v>
      </c>
      <c r="M200" s="43" t="s">
        <v>175</v>
      </c>
      <c r="N200" s="66">
        <v>45874.69084490741</v>
      </c>
      <c r="O200" s="86" t="s">
        <v>241</v>
      </c>
      <c r="P200" s="20"/>
    </row>
    <row r="201">
      <c r="B201" s="13">
        <v>136.0</v>
      </c>
      <c r="C201" s="126" t="s">
        <v>353</v>
      </c>
      <c r="D201" s="76" t="s">
        <v>379</v>
      </c>
      <c r="E201" s="29" t="s">
        <v>73</v>
      </c>
      <c r="F201" s="29" t="s">
        <v>62</v>
      </c>
      <c r="G201" s="30" t="s">
        <v>63</v>
      </c>
      <c r="H201" s="8"/>
      <c r="I201" s="115" t="s">
        <v>56</v>
      </c>
      <c r="J201" s="30" t="s">
        <v>77</v>
      </c>
      <c r="K201" s="30" t="s">
        <v>241</v>
      </c>
      <c r="L201" s="31" t="s">
        <v>44</v>
      </c>
      <c r="M201" s="30" t="s">
        <v>175</v>
      </c>
      <c r="N201" s="65">
        <v>45874.68724537037</v>
      </c>
      <c r="O201" s="87" t="s">
        <v>241</v>
      </c>
      <c r="P201" s="20"/>
    </row>
    <row r="202">
      <c r="B202" s="10">
        <v>137.0</v>
      </c>
      <c r="C202" s="119" t="s">
        <v>353</v>
      </c>
      <c r="D202" s="79" t="s">
        <v>380</v>
      </c>
      <c r="E202" s="42" t="s">
        <v>73</v>
      </c>
      <c r="F202" s="42" t="s">
        <v>62</v>
      </c>
      <c r="G202" s="43" t="s">
        <v>63</v>
      </c>
      <c r="H202" s="11"/>
      <c r="I202" s="115" t="s">
        <v>56</v>
      </c>
      <c r="J202" s="43" t="s">
        <v>77</v>
      </c>
      <c r="K202" s="43" t="s">
        <v>241</v>
      </c>
      <c r="L202" s="45" t="s">
        <v>44</v>
      </c>
      <c r="M202" s="43" t="s">
        <v>175</v>
      </c>
      <c r="N202" s="66">
        <v>45905.42020833334</v>
      </c>
      <c r="O202" s="86" t="s">
        <v>241</v>
      </c>
      <c r="P202" s="20"/>
    </row>
    <row r="203">
      <c r="B203" s="13">
        <v>138.0</v>
      </c>
      <c r="C203" s="126" t="s">
        <v>353</v>
      </c>
      <c r="D203" s="76" t="s">
        <v>381</v>
      </c>
      <c r="E203" s="29" t="s">
        <v>376</v>
      </c>
      <c r="F203" s="29" t="s">
        <v>377</v>
      </c>
      <c r="G203" s="30" t="s">
        <v>258</v>
      </c>
      <c r="H203" s="8"/>
      <c r="I203" s="30" t="s">
        <v>29</v>
      </c>
      <c r="J203" s="30" t="s">
        <v>77</v>
      </c>
      <c r="K203" s="30" t="s">
        <v>241</v>
      </c>
      <c r="L203" s="31" t="s">
        <v>44</v>
      </c>
      <c r="M203" s="30" t="s">
        <v>175</v>
      </c>
      <c r="N203" s="65">
        <v>45874.690787037034</v>
      </c>
      <c r="O203" s="87" t="s">
        <v>241</v>
      </c>
      <c r="P203" s="20"/>
    </row>
    <row r="204">
      <c r="B204" s="10">
        <v>139.0</v>
      </c>
      <c r="C204" s="119" t="s">
        <v>353</v>
      </c>
      <c r="D204" s="79" t="s">
        <v>382</v>
      </c>
      <c r="E204" s="42" t="s">
        <v>376</v>
      </c>
      <c r="F204" s="42" t="s">
        <v>377</v>
      </c>
      <c r="G204" s="43" t="s">
        <v>258</v>
      </c>
      <c r="H204" s="11"/>
      <c r="I204" s="43" t="s">
        <v>29</v>
      </c>
      <c r="J204" s="43" t="s">
        <v>77</v>
      </c>
      <c r="K204" s="43" t="s">
        <v>241</v>
      </c>
      <c r="L204" s="45" t="s">
        <v>44</v>
      </c>
      <c r="M204" s="43" t="s">
        <v>175</v>
      </c>
      <c r="N204" s="66">
        <v>45874.69081018519</v>
      </c>
      <c r="O204" s="86" t="s">
        <v>241</v>
      </c>
      <c r="P204" s="20"/>
    </row>
    <row r="205">
      <c r="B205" s="13">
        <v>140.0</v>
      </c>
      <c r="C205" s="119" t="s">
        <v>353</v>
      </c>
      <c r="D205" s="76" t="s">
        <v>383</v>
      </c>
      <c r="E205" s="29" t="s">
        <v>376</v>
      </c>
      <c r="F205" s="29" t="s">
        <v>377</v>
      </c>
      <c r="G205" s="30" t="s">
        <v>258</v>
      </c>
      <c r="H205" s="8"/>
      <c r="I205" s="30" t="s">
        <v>29</v>
      </c>
      <c r="J205" s="30" t="s">
        <v>77</v>
      </c>
      <c r="K205" s="30" t="s">
        <v>241</v>
      </c>
      <c r="L205" s="31" t="s">
        <v>44</v>
      </c>
      <c r="M205" s="30" t="s">
        <v>175</v>
      </c>
      <c r="N205" s="65">
        <v>45874.69328703704</v>
      </c>
      <c r="O205" s="87" t="s">
        <v>241</v>
      </c>
      <c r="P205" s="20"/>
    </row>
    <row r="206">
      <c r="B206" s="10">
        <v>141.0</v>
      </c>
      <c r="C206" s="126" t="s">
        <v>353</v>
      </c>
      <c r="D206" s="79" t="s">
        <v>384</v>
      </c>
      <c r="E206" s="42" t="s">
        <v>376</v>
      </c>
      <c r="F206" s="42" t="s">
        <v>377</v>
      </c>
      <c r="G206" s="43" t="s">
        <v>258</v>
      </c>
      <c r="H206" s="11"/>
      <c r="I206" s="43" t="s">
        <v>29</v>
      </c>
      <c r="J206" s="43" t="s">
        <v>77</v>
      </c>
      <c r="K206" s="43" t="s">
        <v>241</v>
      </c>
      <c r="L206" s="45" t="s">
        <v>44</v>
      </c>
      <c r="M206" s="43" t="s">
        <v>175</v>
      </c>
      <c r="N206" s="66">
        <v>45874.69634259259</v>
      </c>
      <c r="O206" s="86" t="s">
        <v>241</v>
      </c>
      <c r="P206" s="20"/>
    </row>
    <row r="207">
      <c r="B207" s="13">
        <v>142.0</v>
      </c>
      <c r="C207" s="126" t="s">
        <v>353</v>
      </c>
      <c r="D207" s="76" t="s">
        <v>385</v>
      </c>
      <c r="E207" s="29" t="s">
        <v>386</v>
      </c>
      <c r="F207" s="29" t="s">
        <v>387</v>
      </c>
      <c r="G207" s="30" t="s">
        <v>113</v>
      </c>
      <c r="H207" s="8"/>
      <c r="I207" s="30" t="s">
        <v>29</v>
      </c>
      <c r="J207" s="30" t="s">
        <v>77</v>
      </c>
      <c r="K207" s="30" t="s">
        <v>241</v>
      </c>
      <c r="L207" s="31" t="s">
        <v>44</v>
      </c>
      <c r="M207" s="30" t="s">
        <v>175</v>
      </c>
      <c r="N207" s="65">
        <v>45874.70481481482</v>
      </c>
      <c r="O207" s="87" t="s">
        <v>241</v>
      </c>
      <c r="P207" s="20"/>
    </row>
    <row r="208">
      <c r="B208" s="10">
        <v>143.0</v>
      </c>
      <c r="C208" s="119" t="s">
        <v>353</v>
      </c>
      <c r="D208" s="79" t="s">
        <v>388</v>
      </c>
      <c r="E208" s="42"/>
      <c r="F208" s="42" t="s">
        <v>26</v>
      </c>
      <c r="G208" s="43" t="s">
        <v>27</v>
      </c>
      <c r="H208" s="11"/>
      <c r="I208" s="43" t="s">
        <v>29</v>
      </c>
      <c r="J208" s="43" t="s">
        <v>77</v>
      </c>
      <c r="K208" s="43" t="s">
        <v>241</v>
      </c>
      <c r="L208" s="45" t="s">
        <v>44</v>
      </c>
      <c r="M208" s="43" t="s">
        <v>175</v>
      </c>
      <c r="N208" s="66">
        <v>45874.70460648148</v>
      </c>
      <c r="O208" s="86" t="s">
        <v>241</v>
      </c>
      <c r="P208" s="20"/>
    </row>
    <row r="209">
      <c r="B209" s="13">
        <v>144.0</v>
      </c>
      <c r="C209" s="119" t="s">
        <v>353</v>
      </c>
      <c r="D209" s="76" t="s">
        <v>389</v>
      </c>
      <c r="E209" s="29" t="s">
        <v>390</v>
      </c>
      <c r="F209" s="29" t="s">
        <v>62</v>
      </c>
      <c r="G209" s="30" t="s">
        <v>63</v>
      </c>
      <c r="H209" s="8"/>
      <c r="I209" s="115" t="s">
        <v>56</v>
      </c>
      <c r="J209" s="30" t="s">
        <v>77</v>
      </c>
      <c r="K209" s="30" t="s">
        <v>241</v>
      </c>
      <c r="L209" s="31" t="s">
        <v>44</v>
      </c>
      <c r="M209" s="30" t="s">
        <v>175</v>
      </c>
      <c r="N209" s="29" t="s">
        <v>391</v>
      </c>
      <c r="O209" s="87" t="s">
        <v>241</v>
      </c>
      <c r="P209" s="20"/>
    </row>
    <row r="210">
      <c r="B210" s="10">
        <v>145.0</v>
      </c>
      <c r="C210" s="126" t="s">
        <v>353</v>
      </c>
      <c r="D210" s="79" t="s">
        <v>389</v>
      </c>
      <c r="E210" s="42" t="s">
        <v>392</v>
      </c>
      <c r="F210" s="42" t="s">
        <v>62</v>
      </c>
      <c r="G210" s="43" t="s">
        <v>63</v>
      </c>
      <c r="H210" s="11"/>
      <c r="I210" s="43" t="s">
        <v>56</v>
      </c>
      <c r="J210" s="43" t="s">
        <v>77</v>
      </c>
      <c r="K210" s="43" t="s">
        <v>241</v>
      </c>
      <c r="L210" s="45" t="s">
        <v>44</v>
      </c>
      <c r="M210" s="43" t="s">
        <v>175</v>
      </c>
      <c r="N210" s="42" t="s">
        <v>393</v>
      </c>
      <c r="O210" s="86" t="s">
        <v>241</v>
      </c>
      <c r="P210" s="20"/>
    </row>
    <row r="211">
      <c r="B211" s="13">
        <v>146.0</v>
      </c>
      <c r="C211" s="126" t="s">
        <v>353</v>
      </c>
      <c r="D211" s="76" t="s">
        <v>389</v>
      </c>
      <c r="E211" s="29" t="s">
        <v>394</v>
      </c>
      <c r="F211" s="29" t="s">
        <v>62</v>
      </c>
      <c r="G211" s="30" t="s">
        <v>63</v>
      </c>
      <c r="H211" s="8"/>
      <c r="I211" s="30" t="s">
        <v>56</v>
      </c>
      <c r="J211" s="30" t="s">
        <v>77</v>
      </c>
      <c r="K211" s="30" t="s">
        <v>241</v>
      </c>
      <c r="L211" s="31" t="s">
        <v>44</v>
      </c>
      <c r="M211" s="30" t="s">
        <v>175</v>
      </c>
      <c r="N211" s="65">
        <v>45874.71207175926</v>
      </c>
      <c r="O211" s="87" t="s">
        <v>241</v>
      </c>
      <c r="P211" s="20"/>
    </row>
    <row r="212">
      <c r="B212" s="10">
        <v>147.0</v>
      </c>
      <c r="C212" s="119" t="s">
        <v>353</v>
      </c>
      <c r="D212" s="79" t="s">
        <v>395</v>
      </c>
      <c r="E212" s="42" t="s">
        <v>396</v>
      </c>
      <c r="F212" s="42" t="s">
        <v>62</v>
      </c>
      <c r="G212" s="43" t="s">
        <v>63</v>
      </c>
      <c r="H212" s="11"/>
      <c r="I212" s="43" t="s">
        <v>56</v>
      </c>
      <c r="J212" s="43" t="s">
        <v>77</v>
      </c>
      <c r="K212" s="43" t="s">
        <v>241</v>
      </c>
      <c r="L212" s="45" t="s">
        <v>44</v>
      </c>
      <c r="M212" s="43" t="s">
        <v>175</v>
      </c>
      <c r="N212" s="66">
        <v>45905.37734953704</v>
      </c>
      <c r="O212" s="86" t="s">
        <v>241</v>
      </c>
      <c r="P212" s="20"/>
    </row>
    <row r="213">
      <c r="B213" s="13">
        <v>148.0</v>
      </c>
      <c r="C213" s="119" t="s">
        <v>353</v>
      </c>
      <c r="D213" s="76" t="s">
        <v>395</v>
      </c>
      <c r="E213" s="29" t="s">
        <v>397</v>
      </c>
      <c r="F213" s="29" t="s">
        <v>62</v>
      </c>
      <c r="G213" s="30" t="s">
        <v>63</v>
      </c>
      <c r="H213" s="8"/>
      <c r="I213" s="30" t="s">
        <v>56</v>
      </c>
      <c r="J213" s="30" t="s">
        <v>77</v>
      </c>
      <c r="K213" s="30" t="s">
        <v>241</v>
      </c>
      <c r="L213" s="31" t="s">
        <v>44</v>
      </c>
      <c r="M213" s="30" t="s">
        <v>175</v>
      </c>
      <c r="N213" s="65">
        <v>45905.455671296295</v>
      </c>
      <c r="O213" s="87" t="s">
        <v>241</v>
      </c>
      <c r="P213" s="20"/>
    </row>
    <row r="214">
      <c r="B214" s="10">
        <v>149.0</v>
      </c>
      <c r="C214" s="126" t="s">
        <v>353</v>
      </c>
      <c r="D214" s="79" t="s">
        <v>398</v>
      </c>
      <c r="E214" s="42" t="s">
        <v>73</v>
      </c>
      <c r="F214" s="42" t="s">
        <v>62</v>
      </c>
      <c r="G214" s="43" t="s">
        <v>63</v>
      </c>
      <c r="H214" s="11"/>
      <c r="I214" s="43" t="s">
        <v>56</v>
      </c>
      <c r="J214" s="43" t="s">
        <v>77</v>
      </c>
      <c r="K214" s="43" t="s">
        <v>241</v>
      </c>
      <c r="L214" s="45" t="s">
        <v>44</v>
      </c>
      <c r="M214" s="43" t="s">
        <v>175</v>
      </c>
      <c r="N214" s="66">
        <v>45905.434270833335</v>
      </c>
      <c r="O214" s="86" t="s">
        <v>241</v>
      </c>
      <c r="P214" s="20"/>
    </row>
    <row r="215">
      <c r="B215" s="13">
        <v>150.0</v>
      </c>
      <c r="C215" s="119" t="s">
        <v>353</v>
      </c>
      <c r="D215" s="29" t="s">
        <v>399</v>
      </c>
      <c r="E215" s="29" t="s">
        <v>73</v>
      </c>
      <c r="F215" s="29" t="s">
        <v>62</v>
      </c>
      <c r="G215" s="30" t="s">
        <v>63</v>
      </c>
      <c r="H215" s="8"/>
      <c r="I215" s="30" t="s">
        <v>56</v>
      </c>
      <c r="J215" s="30" t="s">
        <v>77</v>
      </c>
      <c r="K215" s="30" t="s">
        <v>241</v>
      </c>
      <c r="L215" s="31" t="s">
        <v>44</v>
      </c>
      <c r="M215" s="30" t="s">
        <v>175</v>
      </c>
      <c r="N215" s="65">
        <v>45905.43425925926</v>
      </c>
      <c r="O215" s="87" t="s">
        <v>241</v>
      </c>
      <c r="P215" s="20"/>
    </row>
    <row r="216">
      <c r="B216" s="10">
        <v>151.0</v>
      </c>
      <c r="C216" s="119" t="s">
        <v>353</v>
      </c>
      <c r="D216" s="79" t="s">
        <v>398</v>
      </c>
      <c r="E216" s="42" t="s">
        <v>397</v>
      </c>
      <c r="F216" s="42" t="s">
        <v>62</v>
      </c>
      <c r="G216" s="43" t="s">
        <v>63</v>
      </c>
      <c r="H216" s="11"/>
      <c r="I216" s="43" t="s">
        <v>56</v>
      </c>
      <c r="J216" s="43" t="s">
        <v>77</v>
      </c>
      <c r="K216" s="43" t="s">
        <v>241</v>
      </c>
      <c r="L216" s="45" t="s">
        <v>44</v>
      </c>
      <c r="M216" s="43" t="s">
        <v>175</v>
      </c>
      <c r="N216" s="66">
        <v>45905.390625</v>
      </c>
      <c r="O216" s="86" t="s">
        <v>241</v>
      </c>
      <c r="P216" s="20"/>
    </row>
    <row r="217">
      <c r="B217" s="13">
        <v>152.0</v>
      </c>
      <c r="C217" s="126" t="s">
        <v>353</v>
      </c>
      <c r="D217" s="76" t="s">
        <v>400</v>
      </c>
      <c r="E217" s="29" t="s">
        <v>401</v>
      </c>
      <c r="F217" s="29" t="s">
        <v>62</v>
      </c>
      <c r="G217" s="30" t="s">
        <v>63</v>
      </c>
      <c r="H217" s="8"/>
      <c r="I217" s="30" t="s">
        <v>56</v>
      </c>
      <c r="J217" s="30" t="s">
        <v>77</v>
      </c>
      <c r="K217" s="30" t="s">
        <v>241</v>
      </c>
      <c r="L217" s="31" t="s">
        <v>44</v>
      </c>
      <c r="M217" s="30" t="s">
        <v>175</v>
      </c>
      <c r="N217" s="65">
        <v>45905.433912037035</v>
      </c>
      <c r="O217" s="87" t="s">
        <v>241</v>
      </c>
      <c r="P217" s="20"/>
    </row>
    <row r="218">
      <c r="B218" s="10">
        <v>153.0</v>
      </c>
      <c r="C218" s="119" t="s">
        <v>353</v>
      </c>
      <c r="D218" s="79" t="s">
        <v>400</v>
      </c>
      <c r="E218" s="42" t="s">
        <v>397</v>
      </c>
      <c r="F218" s="42" t="s">
        <v>62</v>
      </c>
      <c r="G218" s="43" t="s">
        <v>63</v>
      </c>
      <c r="H218" s="11"/>
      <c r="I218" s="43" t="s">
        <v>56</v>
      </c>
      <c r="J218" s="43" t="s">
        <v>77</v>
      </c>
      <c r="K218" s="43" t="s">
        <v>241</v>
      </c>
      <c r="L218" s="45" t="s">
        <v>44</v>
      </c>
      <c r="M218" s="43" t="s">
        <v>175</v>
      </c>
      <c r="N218" s="66">
        <v>45905.39297453704</v>
      </c>
      <c r="O218" s="86" t="s">
        <v>241</v>
      </c>
      <c r="P218" s="20"/>
    </row>
    <row r="219">
      <c r="B219" s="13">
        <v>154.0</v>
      </c>
      <c r="C219" s="119" t="s">
        <v>353</v>
      </c>
      <c r="D219" s="76" t="s">
        <v>402</v>
      </c>
      <c r="E219" s="29" t="s">
        <v>73</v>
      </c>
      <c r="F219" s="29" t="s">
        <v>62</v>
      </c>
      <c r="G219" s="30" t="s">
        <v>63</v>
      </c>
      <c r="H219" s="8"/>
      <c r="I219" s="30" t="s">
        <v>56</v>
      </c>
      <c r="J219" s="30" t="s">
        <v>77</v>
      </c>
      <c r="K219" s="30" t="s">
        <v>241</v>
      </c>
      <c r="L219" s="31" t="s">
        <v>44</v>
      </c>
      <c r="M219" s="30" t="s">
        <v>175</v>
      </c>
      <c r="N219" s="65">
        <v>45905.43423611111</v>
      </c>
      <c r="O219" s="87" t="s">
        <v>241</v>
      </c>
      <c r="P219" s="20"/>
    </row>
    <row r="220">
      <c r="B220" s="10">
        <v>155.0</v>
      </c>
      <c r="C220" s="126" t="s">
        <v>353</v>
      </c>
      <c r="D220" s="79" t="s">
        <v>403</v>
      </c>
      <c r="E220" s="42" t="s">
        <v>73</v>
      </c>
      <c r="F220" s="42" t="s">
        <v>62</v>
      </c>
      <c r="G220" s="43" t="s">
        <v>63</v>
      </c>
      <c r="H220" s="11"/>
      <c r="I220" s="43" t="s">
        <v>56</v>
      </c>
      <c r="J220" s="43" t="s">
        <v>77</v>
      </c>
      <c r="K220" s="43" t="s">
        <v>241</v>
      </c>
      <c r="L220" s="45" t="s">
        <v>44</v>
      </c>
      <c r="M220" s="43" t="s">
        <v>175</v>
      </c>
      <c r="N220" s="66">
        <v>45905.434212962966</v>
      </c>
      <c r="O220" s="86" t="s">
        <v>241</v>
      </c>
      <c r="P220" s="20"/>
    </row>
    <row r="221">
      <c r="B221" s="13">
        <v>156.0</v>
      </c>
      <c r="C221" s="119" t="s">
        <v>353</v>
      </c>
      <c r="D221" s="76" t="s">
        <v>379</v>
      </c>
      <c r="E221" s="29" t="s">
        <v>401</v>
      </c>
      <c r="F221" s="29" t="s">
        <v>62</v>
      </c>
      <c r="G221" s="30" t="s">
        <v>63</v>
      </c>
      <c r="H221" s="8"/>
      <c r="I221" s="30" t="s">
        <v>56</v>
      </c>
      <c r="J221" s="30" t="s">
        <v>77</v>
      </c>
      <c r="K221" s="30" t="s">
        <v>241</v>
      </c>
      <c r="L221" s="31" t="s">
        <v>44</v>
      </c>
      <c r="M221" s="30" t="s">
        <v>175</v>
      </c>
      <c r="N221" s="65">
        <v>45905.421331018515</v>
      </c>
      <c r="O221" s="87" t="s">
        <v>241</v>
      </c>
      <c r="P221" s="20"/>
    </row>
    <row r="222">
      <c r="B222" s="10">
        <v>157.0</v>
      </c>
      <c r="C222" s="119" t="s">
        <v>353</v>
      </c>
      <c r="D222" s="79" t="s">
        <v>380</v>
      </c>
      <c r="E222" s="42" t="s">
        <v>401</v>
      </c>
      <c r="F222" s="42" t="s">
        <v>62</v>
      </c>
      <c r="G222" s="43" t="s">
        <v>63</v>
      </c>
      <c r="H222" s="11"/>
      <c r="I222" s="43" t="s">
        <v>56</v>
      </c>
      <c r="J222" s="43" t="s">
        <v>77</v>
      </c>
      <c r="K222" s="43" t="s">
        <v>241</v>
      </c>
      <c r="L222" s="45" t="s">
        <v>44</v>
      </c>
      <c r="M222" s="43" t="s">
        <v>175</v>
      </c>
      <c r="N222" s="66">
        <v>45905.420277777775</v>
      </c>
      <c r="O222" s="86" t="s">
        <v>241</v>
      </c>
      <c r="P222" s="20"/>
    </row>
    <row r="223">
      <c r="B223" s="13">
        <v>158.0</v>
      </c>
      <c r="C223" s="126" t="s">
        <v>353</v>
      </c>
      <c r="D223" s="76" t="s">
        <v>398</v>
      </c>
      <c r="E223" s="29" t="s">
        <v>401</v>
      </c>
      <c r="F223" s="29" t="s">
        <v>62</v>
      </c>
      <c r="G223" s="30" t="s">
        <v>63</v>
      </c>
      <c r="H223" s="8"/>
      <c r="I223" s="30" t="s">
        <v>56</v>
      </c>
      <c r="J223" s="30" t="s">
        <v>77</v>
      </c>
      <c r="K223" s="30" t="s">
        <v>241</v>
      </c>
      <c r="L223" s="31" t="s">
        <v>44</v>
      </c>
      <c r="M223" s="30" t="s">
        <v>175</v>
      </c>
      <c r="N223" s="65">
        <v>45905.42123842592</v>
      </c>
      <c r="O223" s="87" t="s">
        <v>241</v>
      </c>
      <c r="P223" s="20"/>
    </row>
    <row r="224">
      <c r="B224" s="10">
        <v>159.0</v>
      </c>
      <c r="C224" s="119" t="s">
        <v>353</v>
      </c>
      <c r="D224" s="42" t="s">
        <v>399</v>
      </c>
      <c r="E224" s="42" t="s">
        <v>401</v>
      </c>
      <c r="F224" s="42" t="s">
        <v>62</v>
      </c>
      <c r="G224" s="43" t="s">
        <v>63</v>
      </c>
      <c r="H224" s="11"/>
      <c r="I224" s="43" t="s">
        <v>56</v>
      </c>
      <c r="J224" s="43" t="s">
        <v>77</v>
      </c>
      <c r="K224" s="43" t="s">
        <v>241</v>
      </c>
      <c r="L224" s="45" t="s">
        <v>44</v>
      </c>
      <c r="M224" s="43" t="s">
        <v>175</v>
      </c>
      <c r="N224" s="66">
        <v>45905.42077546296</v>
      </c>
      <c r="O224" s="86" t="s">
        <v>241</v>
      </c>
      <c r="P224" s="20"/>
    </row>
    <row r="225">
      <c r="B225" s="13">
        <v>160.0</v>
      </c>
      <c r="C225" s="119" t="s">
        <v>353</v>
      </c>
      <c r="D225" s="76" t="s">
        <v>400</v>
      </c>
      <c r="E225" s="29" t="s">
        <v>401</v>
      </c>
      <c r="F225" s="29" t="s">
        <v>62</v>
      </c>
      <c r="G225" s="30" t="s">
        <v>63</v>
      </c>
      <c r="H225" s="8"/>
      <c r="I225" s="30" t="s">
        <v>56</v>
      </c>
      <c r="J225" s="30" t="s">
        <v>77</v>
      </c>
      <c r="K225" s="30" t="s">
        <v>241</v>
      </c>
      <c r="L225" s="31" t="s">
        <v>44</v>
      </c>
      <c r="M225" s="30" t="s">
        <v>175</v>
      </c>
      <c r="N225" s="65">
        <v>45905.42103009259</v>
      </c>
      <c r="O225" s="87" t="s">
        <v>241</v>
      </c>
      <c r="P225" s="20"/>
    </row>
    <row r="226">
      <c r="B226" s="10">
        <v>161.0</v>
      </c>
      <c r="C226" s="119" t="s">
        <v>353</v>
      </c>
      <c r="D226" s="79" t="s">
        <v>402</v>
      </c>
      <c r="E226" s="42" t="s">
        <v>401</v>
      </c>
      <c r="F226" s="42" t="s">
        <v>62</v>
      </c>
      <c r="G226" s="43" t="s">
        <v>63</v>
      </c>
      <c r="H226" s="11"/>
      <c r="I226" s="43" t="s">
        <v>56</v>
      </c>
      <c r="J226" s="43" t="s">
        <v>77</v>
      </c>
      <c r="K226" s="43" t="s">
        <v>241</v>
      </c>
      <c r="L226" s="45" t="s">
        <v>44</v>
      </c>
      <c r="M226" s="43" t="s">
        <v>175</v>
      </c>
      <c r="N226" s="66">
        <v>45905.43608796296</v>
      </c>
      <c r="O226" s="86" t="s">
        <v>241</v>
      </c>
      <c r="P226" s="20"/>
    </row>
    <row r="227">
      <c r="B227" s="13">
        <v>162.0</v>
      </c>
      <c r="C227" s="119" t="s">
        <v>353</v>
      </c>
      <c r="D227" s="76" t="s">
        <v>403</v>
      </c>
      <c r="E227" s="29" t="s">
        <v>401</v>
      </c>
      <c r="F227" s="29" t="s">
        <v>62</v>
      </c>
      <c r="G227" s="30" t="s">
        <v>63</v>
      </c>
      <c r="H227" s="8"/>
      <c r="I227" s="30" t="s">
        <v>56</v>
      </c>
      <c r="J227" s="30" t="s">
        <v>77</v>
      </c>
      <c r="K227" s="30" t="s">
        <v>241</v>
      </c>
      <c r="L227" s="31" t="s">
        <v>44</v>
      </c>
      <c r="M227" s="30" t="s">
        <v>175</v>
      </c>
      <c r="N227" s="65">
        <v>45905.42119212963</v>
      </c>
      <c r="O227" s="87" t="s">
        <v>241</v>
      </c>
      <c r="P227" s="20"/>
    </row>
    <row r="228">
      <c r="B228" s="10">
        <v>163.0</v>
      </c>
      <c r="C228" s="126" t="s">
        <v>353</v>
      </c>
      <c r="D228" s="79" t="s">
        <v>404</v>
      </c>
      <c r="E228" s="42" t="s">
        <v>401</v>
      </c>
      <c r="F228" s="42" t="s">
        <v>62</v>
      </c>
      <c r="G228" s="43" t="s">
        <v>63</v>
      </c>
      <c r="H228" s="11"/>
      <c r="I228" s="43" t="s">
        <v>56</v>
      </c>
      <c r="J228" s="43" t="s">
        <v>77</v>
      </c>
      <c r="K228" s="43" t="s">
        <v>241</v>
      </c>
      <c r="L228" s="45" t="s">
        <v>44</v>
      </c>
      <c r="M228" s="43" t="s">
        <v>175</v>
      </c>
      <c r="N228" s="66">
        <v>45905.43457175926</v>
      </c>
      <c r="O228" s="86" t="s">
        <v>241</v>
      </c>
      <c r="P228" s="20"/>
    </row>
    <row r="229">
      <c r="B229" s="13">
        <v>164.0</v>
      </c>
      <c r="C229" s="119" t="s">
        <v>353</v>
      </c>
      <c r="D229" s="76" t="s">
        <v>404</v>
      </c>
      <c r="E229" s="29" t="s">
        <v>73</v>
      </c>
      <c r="F229" s="29" t="s">
        <v>62</v>
      </c>
      <c r="G229" s="30" t="s">
        <v>63</v>
      </c>
      <c r="H229" s="8"/>
      <c r="I229" s="30" t="s">
        <v>56</v>
      </c>
      <c r="J229" s="30" t="s">
        <v>77</v>
      </c>
      <c r="K229" s="30" t="s">
        <v>241</v>
      </c>
      <c r="L229" s="31" t="s">
        <v>44</v>
      </c>
      <c r="M229" s="30" t="s">
        <v>175</v>
      </c>
      <c r="N229" s="65">
        <v>45905.4344212963</v>
      </c>
      <c r="O229" s="87" t="s">
        <v>241</v>
      </c>
      <c r="P229" s="20"/>
    </row>
    <row r="230">
      <c r="B230" s="10">
        <v>165.0</v>
      </c>
      <c r="C230" s="119" t="s">
        <v>353</v>
      </c>
      <c r="D230" s="79" t="s">
        <v>405</v>
      </c>
      <c r="E230" s="42" t="s">
        <v>73</v>
      </c>
      <c r="F230" s="42" t="s">
        <v>62</v>
      </c>
      <c r="G230" s="43" t="s">
        <v>63</v>
      </c>
      <c r="H230" s="11"/>
      <c r="I230" s="43" t="s">
        <v>56</v>
      </c>
      <c r="J230" s="43" t="s">
        <v>77</v>
      </c>
      <c r="K230" s="43" t="s">
        <v>241</v>
      </c>
      <c r="L230" s="45" t="s">
        <v>44</v>
      </c>
      <c r="M230" s="43" t="s">
        <v>175</v>
      </c>
      <c r="N230" s="66">
        <v>45905.43560185185</v>
      </c>
      <c r="O230" s="86" t="s">
        <v>241</v>
      </c>
      <c r="P230" s="20"/>
    </row>
    <row r="231">
      <c r="B231" s="13">
        <v>166.0</v>
      </c>
      <c r="C231" s="126" t="s">
        <v>353</v>
      </c>
      <c r="D231" s="76" t="s">
        <v>406</v>
      </c>
      <c r="E231" s="29" t="s">
        <v>407</v>
      </c>
      <c r="F231" s="29" t="s">
        <v>62</v>
      </c>
      <c r="G231" s="30" t="s">
        <v>63</v>
      </c>
      <c r="H231" s="8"/>
      <c r="I231" s="30" t="s">
        <v>56</v>
      </c>
      <c r="J231" s="30" t="s">
        <v>77</v>
      </c>
      <c r="K231" s="30" t="s">
        <v>241</v>
      </c>
      <c r="L231" s="31" t="s">
        <v>44</v>
      </c>
      <c r="M231" s="30" t="s">
        <v>175</v>
      </c>
      <c r="N231" s="65">
        <v>45905.455972222226</v>
      </c>
      <c r="O231" s="87" t="s">
        <v>241</v>
      </c>
      <c r="P231" s="20"/>
    </row>
    <row r="232">
      <c r="B232" s="10">
        <v>167.0</v>
      </c>
      <c r="C232" s="119" t="s">
        <v>353</v>
      </c>
      <c r="D232" s="79" t="s">
        <v>406</v>
      </c>
      <c r="E232" s="42" t="s">
        <v>408</v>
      </c>
      <c r="F232" s="42" t="s">
        <v>62</v>
      </c>
      <c r="G232" s="43" t="s">
        <v>63</v>
      </c>
      <c r="H232" s="11"/>
      <c r="I232" s="43" t="s">
        <v>56</v>
      </c>
      <c r="J232" s="43" t="s">
        <v>77</v>
      </c>
      <c r="K232" s="43" t="s">
        <v>241</v>
      </c>
      <c r="L232" s="45" t="s">
        <v>44</v>
      </c>
      <c r="M232" s="43" t="s">
        <v>175</v>
      </c>
      <c r="N232" s="66">
        <v>45905.45244212963</v>
      </c>
      <c r="O232" s="86" t="s">
        <v>241</v>
      </c>
      <c r="P232" s="20"/>
    </row>
    <row r="233">
      <c r="B233" s="13">
        <v>168.0</v>
      </c>
      <c r="C233" s="119" t="s">
        <v>353</v>
      </c>
      <c r="D233" s="76" t="s">
        <v>406</v>
      </c>
      <c r="E233" s="29" t="s">
        <v>409</v>
      </c>
      <c r="F233" s="29" t="s">
        <v>62</v>
      </c>
      <c r="G233" s="30" t="s">
        <v>63</v>
      </c>
      <c r="H233" s="8"/>
      <c r="I233" s="30" t="s">
        <v>56</v>
      </c>
      <c r="J233" s="30" t="s">
        <v>77</v>
      </c>
      <c r="K233" s="30" t="s">
        <v>241</v>
      </c>
      <c r="L233" s="31" t="s">
        <v>44</v>
      </c>
      <c r="M233" s="30" t="s">
        <v>175</v>
      </c>
      <c r="N233" s="65">
        <v>45905.453206018516</v>
      </c>
      <c r="O233" s="87" t="s">
        <v>241</v>
      </c>
      <c r="P233" s="20"/>
    </row>
    <row r="234">
      <c r="B234" s="10">
        <v>169.0</v>
      </c>
      <c r="C234" s="119" t="s">
        <v>353</v>
      </c>
      <c r="D234" s="79" t="s">
        <v>406</v>
      </c>
      <c r="E234" s="42" t="s">
        <v>410</v>
      </c>
      <c r="F234" s="42" t="s">
        <v>62</v>
      </c>
      <c r="G234" s="43" t="s">
        <v>63</v>
      </c>
      <c r="H234" s="11"/>
      <c r="I234" s="43" t="s">
        <v>56</v>
      </c>
      <c r="J234" s="43" t="s">
        <v>77</v>
      </c>
      <c r="K234" s="43" t="s">
        <v>241</v>
      </c>
      <c r="L234" s="45" t="s">
        <v>44</v>
      </c>
      <c r="M234" s="43" t="s">
        <v>175</v>
      </c>
      <c r="N234" s="66">
        <v>45905.463912037034</v>
      </c>
      <c r="O234" s="86" t="s">
        <v>241</v>
      </c>
      <c r="P234" s="20"/>
    </row>
    <row r="235">
      <c r="B235" s="13">
        <v>170.0</v>
      </c>
      <c r="C235" s="119" t="s">
        <v>353</v>
      </c>
      <c r="D235" s="76" t="s">
        <v>411</v>
      </c>
      <c r="E235" s="29" t="s">
        <v>401</v>
      </c>
      <c r="F235" s="29" t="s">
        <v>62</v>
      </c>
      <c r="G235" s="30" t="s">
        <v>63</v>
      </c>
      <c r="H235" s="8"/>
      <c r="I235" s="30" t="s">
        <v>56</v>
      </c>
      <c r="J235" s="30" t="s">
        <v>77</v>
      </c>
      <c r="K235" s="30" t="s">
        <v>241</v>
      </c>
      <c r="L235" s="31" t="s">
        <v>44</v>
      </c>
      <c r="M235" s="30" t="s">
        <v>175</v>
      </c>
      <c r="N235" s="65">
        <v>45905.45998842592</v>
      </c>
      <c r="O235" s="87" t="s">
        <v>241</v>
      </c>
      <c r="P235" s="20"/>
    </row>
    <row r="236">
      <c r="B236" s="10">
        <v>171.0</v>
      </c>
      <c r="C236" s="126" t="s">
        <v>353</v>
      </c>
      <c r="D236" s="79" t="s">
        <v>411</v>
      </c>
      <c r="E236" s="42" t="s">
        <v>73</v>
      </c>
      <c r="F236" s="42" t="s">
        <v>62</v>
      </c>
      <c r="G236" s="43" t="s">
        <v>63</v>
      </c>
      <c r="H236" s="11"/>
      <c r="I236" s="43" t="s">
        <v>56</v>
      </c>
      <c r="J236" s="43" t="s">
        <v>77</v>
      </c>
      <c r="K236" s="43" t="s">
        <v>241</v>
      </c>
      <c r="L236" s="45" t="s">
        <v>44</v>
      </c>
      <c r="M236" s="43" t="s">
        <v>175</v>
      </c>
      <c r="N236" s="66">
        <v>45905.458402777775</v>
      </c>
      <c r="O236" s="86" t="s">
        <v>241</v>
      </c>
      <c r="P236" s="20"/>
    </row>
    <row r="237">
      <c r="B237" s="13">
        <v>172.0</v>
      </c>
      <c r="C237" s="119" t="s">
        <v>353</v>
      </c>
      <c r="D237" s="76" t="s">
        <v>412</v>
      </c>
      <c r="E237" s="29" t="s">
        <v>401</v>
      </c>
      <c r="F237" s="29" t="s">
        <v>62</v>
      </c>
      <c r="G237" s="30" t="s">
        <v>63</v>
      </c>
      <c r="H237" s="8"/>
      <c r="I237" s="30" t="s">
        <v>56</v>
      </c>
      <c r="J237" s="30" t="s">
        <v>77</v>
      </c>
      <c r="K237" s="30" t="s">
        <v>241</v>
      </c>
      <c r="L237" s="31" t="s">
        <v>44</v>
      </c>
      <c r="M237" s="30" t="s">
        <v>175</v>
      </c>
      <c r="N237" s="65">
        <v>45905.45998842592</v>
      </c>
      <c r="O237" s="87" t="s">
        <v>241</v>
      </c>
      <c r="P237" s="20"/>
    </row>
    <row r="238">
      <c r="B238" s="10">
        <v>173.0</v>
      </c>
      <c r="C238" s="119" t="s">
        <v>353</v>
      </c>
      <c r="D238" s="79" t="s">
        <v>412</v>
      </c>
      <c r="E238" s="42" t="s">
        <v>73</v>
      </c>
      <c r="F238" s="42" t="s">
        <v>62</v>
      </c>
      <c r="G238" s="43" t="s">
        <v>63</v>
      </c>
      <c r="H238" s="11"/>
      <c r="I238" s="43" t="s">
        <v>56</v>
      </c>
      <c r="J238" s="43" t="s">
        <v>77</v>
      </c>
      <c r="K238" s="43" t="s">
        <v>241</v>
      </c>
      <c r="L238" s="45" t="s">
        <v>44</v>
      </c>
      <c r="M238" s="43" t="s">
        <v>175</v>
      </c>
      <c r="N238" s="66">
        <v>45905.45998842592</v>
      </c>
      <c r="O238" s="86" t="s">
        <v>241</v>
      </c>
      <c r="P238" s="20"/>
    </row>
    <row r="239">
      <c r="B239" s="13">
        <v>174.0</v>
      </c>
      <c r="C239" s="126" t="s">
        <v>353</v>
      </c>
      <c r="D239" s="76" t="s">
        <v>413</v>
      </c>
      <c r="E239" s="29" t="s">
        <v>73</v>
      </c>
      <c r="F239" s="29" t="s">
        <v>62</v>
      </c>
      <c r="G239" s="30" t="s">
        <v>63</v>
      </c>
      <c r="H239" s="8"/>
      <c r="I239" s="30" t="s">
        <v>56</v>
      </c>
      <c r="J239" s="30" t="s">
        <v>77</v>
      </c>
      <c r="K239" s="30" t="s">
        <v>241</v>
      </c>
      <c r="L239" s="31" t="s">
        <v>44</v>
      </c>
      <c r="M239" s="30" t="s">
        <v>175</v>
      </c>
      <c r="N239" s="65">
        <v>45905.4637037037</v>
      </c>
      <c r="O239" s="87" t="s">
        <v>241</v>
      </c>
      <c r="P239" s="20"/>
    </row>
    <row r="240">
      <c r="B240" s="10">
        <v>175.0</v>
      </c>
      <c r="C240" s="119" t="s">
        <v>353</v>
      </c>
      <c r="D240" s="79" t="s">
        <v>414</v>
      </c>
      <c r="E240" s="42" t="s">
        <v>401</v>
      </c>
      <c r="F240" s="42" t="s">
        <v>62</v>
      </c>
      <c r="G240" s="43" t="s">
        <v>63</v>
      </c>
      <c r="H240" s="11"/>
      <c r="I240" s="43" t="s">
        <v>56</v>
      </c>
      <c r="J240" s="43" t="s">
        <v>77</v>
      </c>
      <c r="K240" s="43" t="s">
        <v>241</v>
      </c>
      <c r="L240" s="45" t="s">
        <v>44</v>
      </c>
      <c r="M240" s="43" t="s">
        <v>175</v>
      </c>
      <c r="N240" s="66">
        <v>45905.46837962963</v>
      </c>
      <c r="O240" s="86" t="s">
        <v>241</v>
      </c>
      <c r="P240" s="20"/>
    </row>
    <row r="241">
      <c r="B241" s="13">
        <v>176.0</v>
      </c>
      <c r="C241" s="119" t="s">
        <v>353</v>
      </c>
      <c r="D241" s="76" t="s">
        <v>414</v>
      </c>
      <c r="E241" s="29" t="s">
        <v>397</v>
      </c>
      <c r="F241" s="29" t="s">
        <v>62</v>
      </c>
      <c r="G241" s="30" t="s">
        <v>63</v>
      </c>
      <c r="H241" s="8"/>
      <c r="I241" s="30" t="s">
        <v>56</v>
      </c>
      <c r="J241" s="30" t="s">
        <v>77</v>
      </c>
      <c r="K241" s="30" t="s">
        <v>241</v>
      </c>
      <c r="L241" s="31" t="s">
        <v>44</v>
      </c>
      <c r="M241" s="30" t="s">
        <v>175</v>
      </c>
      <c r="N241" s="65">
        <v>45905.469293981485</v>
      </c>
      <c r="O241" s="87" t="s">
        <v>241</v>
      </c>
      <c r="P241" s="20"/>
    </row>
    <row r="242">
      <c r="B242" s="10">
        <v>177.0</v>
      </c>
      <c r="C242" s="119" t="s">
        <v>353</v>
      </c>
      <c r="D242" s="79" t="s">
        <v>415</v>
      </c>
      <c r="E242" s="42" t="s">
        <v>73</v>
      </c>
      <c r="F242" s="42" t="s">
        <v>62</v>
      </c>
      <c r="G242" s="43" t="s">
        <v>63</v>
      </c>
      <c r="H242" s="11"/>
      <c r="I242" s="43" t="s">
        <v>56</v>
      </c>
      <c r="J242" s="43" t="s">
        <v>77</v>
      </c>
      <c r="K242" s="43" t="s">
        <v>241</v>
      </c>
      <c r="L242" s="45" t="s">
        <v>44</v>
      </c>
      <c r="M242" s="43" t="s">
        <v>175</v>
      </c>
      <c r="N242" s="66">
        <v>45905.47670138889</v>
      </c>
      <c r="O242" s="86" t="s">
        <v>241</v>
      </c>
      <c r="P242" s="20"/>
    </row>
    <row r="243">
      <c r="B243" s="13">
        <v>178.0</v>
      </c>
      <c r="C243" s="119" t="s">
        <v>353</v>
      </c>
      <c r="D243" s="76" t="s">
        <v>415</v>
      </c>
      <c r="E243" s="29" t="s">
        <v>397</v>
      </c>
      <c r="F243" s="29" t="s">
        <v>62</v>
      </c>
      <c r="G243" s="30" t="s">
        <v>63</v>
      </c>
      <c r="H243" s="8"/>
      <c r="I243" s="30" t="s">
        <v>56</v>
      </c>
      <c r="J243" s="30" t="s">
        <v>77</v>
      </c>
      <c r="K243" s="30" t="s">
        <v>241</v>
      </c>
      <c r="L243" s="31" t="s">
        <v>44</v>
      </c>
      <c r="M243" s="30" t="s">
        <v>175</v>
      </c>
      <c r="N243" s="65">
        <v>45905.47673611111</v>
      </c>
      <c r="O243" s="87" t="s">
        <v>241</v>
      </c>
      <c r="P243" s="20"/>
    </row>
    <row r="244">
      <c r="B244" s="10">
        <v>179.0</v>
      </c>
      <c r="C244" s="126" t="s">
        <v>353</v>
      </c>
      <c r="D244" s="79" t="s">
        <v>416</v>
      </c>
      <c r="E244" s="42" t="s">
        <v>401</v>
      </c>
      <c r="F244" s="42" t="s">
        <v>62</v>
      </c>
      <c r="G244" s="43" t="s">
        <v>63</v>
      </c>
      <c r="H244" s="11"/>
      <c r="I244" s="43" t="s">
        <v>56</v>
      </c>
      <c r="J244" s="43" t="s">
        <v>77</v>
      </c>
      <c r="K244" s="43" t="s">
        <v>241</v>
      </c>
      <c r="L244" s="45" t="s">
        <v>44</v>
      </c>
      <c r="M244" s="43" t="s">
        <v>175</v>
      </c>
      <c r="N244" s="66">
        <v>45905.475324074076</v>
      </c>
      <c r="O244" s="86" t="s">
        <v>241</v>
      </c>
      <c r="P244" s="20"/>
    </row>
    <row r="245">
      <c r="B245" s="13">
        <v>180.0</v>
      </c>
      <c r="C245" s="119" t="s">
        <v>353</v>
      </c>
      <c r="D245" s="76" t="s">
        <v>416</v>
      </c>
      <c r="E245" s="29" t="s">
        <v>397</v>
      </c>
      <c r="F245" s="29" t="s">
        <v>62</v>
      </c>
      <c r="G245" s="30" t="s">
        <v>63</v>
      </c>
      <c r="H245" s="8"/>
      <c r="I245" s="30" t="s">
        <v>56</v>
      </c>
      <c r="J245" s="30" t="s">
        <v>77</v>
      </c>
      <c r="K245" s="30" t="s">
        <v>241</v>
      </c>
      <c r="L245" s="31" t="s">
        <v>44</v>
      </c>
      <c r="M245" s="30" t="s">
        <v>175</v>
      </c>
      <c r="N245" s="65">
        <v>45905.476111111115</v>
      </c>
      <c r="O245" s="87" t="s">
        <v>241</v>
      </c>
      <c r="P245" s="20"/>
    </row>
    <row r="246">
      <c r="B246" s="10">
        <v>181.0</v>
      </c>
      <c r="C246" s="119" t="s">
        <v>353</v>
      </c>
      <c r="D246" s="79" t="s">
        <v>417</v>
      </c>
      <c r="E246" s="42" t="s">
        <v>401</v>
      </c>
      <c r="F246" s="42" t="s">
        <v>62</v>
      </c>
      <c r="G246" s="43" t="s">
        <v>63</v>
      </c>
      <c r="H246" s="11"/>
      <c r="I246" s="43" t="s">
        <v>56</v>
      </c>
      <c r="J246" s="43" t="s">
        <v>77</v>
      </c>
      <c r="K246" s="43" t="s">
        <v>241</v>
      </c>
      <c r="L246" s="45" t="s">
        <v>44</v>
      </c>
      <c r="M246" s="43" t="s">
        <v>175</v>
      </c>
      <c r="N246" s="66">
        <v>45905.482777777775</v>
      </c>
      <c r="O246" s="86" t="s">
        <v>241</v>
      </c>
      <c r="P246" s="20"/>
    </row>
    <row r="247">
      <c r="B247" s="13">
        <v>182.0</v>
      </c>
      <c r="C247" s="119" t="s">
        <v>353</v>
      </c>
      <c r="D247" s="76" t="s">
        <v>417</v>
      </c>
      <c r="E247" s="29" t="s">
        <v>397</v>
      </c>
      <c r="F247" s="29" t="s">
        <v>62</v>
      </c>
      <c r="G247" s="30" t="s">
        <v>63</v>
      </c>
      <c r="H247" s="8"/>
      <c r="I247" s="30" t="s">
        <v>56</v>
      </c>
      <c r="J247" s="30" t="s">
        <v>77</v>
      </c>
      <c r="K247" s="30" t="s">
        <v>241</v>
      </c>
      <c r="L247" s="31" t="s">
        <v>44</v>
      </c>
      <c r="M247" s="30" t="s">
        <v>175</v>
      </c>
      <c r="N247" s="65">
        <v>45905.47869212963</v>
      </c>
      <c r="O247" s="87" t="s">
        <v>241</v>
      </c>
      <c r="P247" s="20"/>
    </row>
    <row r="248">
      <c r="B248" s="10">
        <v>183.0</v>
      </c>
      <c r="C248" s="119" t="s">
        <v>353</v>
      </c>
      <c r="D248" s="79" t="s">
        <v>418</v>
      </c>
      <c r="E248" s="42" t="s">
        <v>401</v>
      </c>
      <c r="F248" s="42" t="s">
        <v>62</v>
      </c>
      <c r="G248" s="43" t="s">
        <v>63</v>
      </c>
      <c r="H248" s="11"/>
      <c r="I248" s="43" t="s">
        <v>56</v>
      </c>
      <c r="J248" s="43" t="s">
        <v>77</v>
      </c>
      <c r="K248" s="43" t="s">
        <v>241</v>
      </c>
      <c r="L248" s="45" t="s">
        <v>44</v>
      </c>
      <c r="M248" s="43" t="s">
        <v>175</v>
      </c>
      <c r="N248" s="66">
        <v>45905.4799537037</v>
      </c>
      <c r="O248" s="86" t="s">
        <v>241</v>
      </c>
      <c r="P248" s="20"/>
    </row>
    <row r="249">
      <c r="B249" s="13">
        <v>184.0</v>
      </c>
      <c r="C249" s="119" t="s">
        <v>353</v>
      </c>
      <c r="D249" s="134" t="s">
        <v>418</v>
      </c>
      <c r="E249" s="29" t="s">
        <v>397</v>
      </c>
      <c r="F249" s="29" t="s">
        <v>62</v>
      </c>
      <c r="G249" s="30" t="s">
        <v>63</v>
      </c>
      <c r="H249" s="8"/>
      <c r="I249" s="30" t="s">
        <v>56</v>
      </c>
      <c r="J249" s="30" t="s">
        <v>77</v>
      </c>
      <c r="K249" s="30" t="s">
        <v>241</v>
      </c>
      <c r="L249" s="31" t="s">
        <v>32</v>
      </c>
      <c r="M249" s="30" t="s">
        <v>175</v>
      </c>
      <c r="N249" s="65">
        <v>45905.47986111111</v>
      </c>
      <c r="O249" s="135" t="s">
        <v>419</v>
      </c>
      <c r="P249" s="20"/>
    </row>
    <row r="250">
      <c r="B250" s="10">
        <v>185.0</v>
      </c>
      <c r="C250" s="119" t="s">
        <v>353</v>
      </c>
      <c r="D250" s="134" t="s">
        <v>420</v>
      </c>
      <c r="E250" s="42" t="s">
        <v>401</v>
      </c>
      <c r="F250" s="42" t="s">
        <v>62</v>
      </c>
      <c r="G250" s="43" t="s">
        <v>63</v>
      </c>
      <c r="H250" s="11"/>
      <c r="I250" s="43" t="s">
        <v>56</v>
      </c>
      <c r="J250" s="43" t="s">
        <v>77</v>
      </c>
      <c r="K250" s="43" t="s">
        <v>241</v>
      </c>
      <c r="L250" s="45" t="s">
        <v>32</v>
      </c>
      <c r="M250" s="43" t="s">
        <v>175</v>
      </c>
      <c r="N250" s="66">
        <v>45905.482465277775</v>
      </c>
      <c r="O250" s="135" t="s">
        <v>419</v>
      </c>
      <c r="P250" s="20"/>
    </row>
    <row r="251">
      <c r="B251" s="13">
        <v>186.0</v>
      </c>
      <c r="C251" s="119" t="s">
        <v>353</v>
      </c>
      <c r="D251" s="134" t="s">
        <v>420</v>
      </c>
      <c r="E251" s="29" t="s">
        <v>397</v>
      </c>
      <c r="F251" s="29" t="s">
        <v>62</v>
      </c>
      <c r="G251" s="30" t="s">
        <v>63</v>
      </c>
      <c r="H251" s="8"/>
      <c r="I251" s="30" t="s">
        <v>56</v>
      </c>
      <c r="J251" s="30" t="s">
        <v>77</v>
      </c>
      <c r="K251" s="30" t="s">
        <v>241</v>
      </c>
      <c r="L251" s="31" t="s">
        <v>32</v>
      </c>
      <c r="M251" s="30" t="s">
        <v>175</v>
      </c>
      <c r="N251" s="65">
        <v>45905.49695601852</v>
      </c>
      <c r="O251" s="135" t="s">
        <v>419</v>
      </c>
      <c r="P251" s="20"/>
    </row>
    <row r="252">
      <c r="B252" s="10">
        <v>187.0</v>
      </c>
      <c r="C252" s="119" t="s">
        <v>353</v>
      </c>
      <c r="D252" s="134" t="s">
        <v>421</v>
      </c>
      <c r="E252" s="42" t="s">
        <v>401</v>
      </c>
      <c r="F252" s="42" t="s">
        <v>62</v>
      </c>
      <c r="G252" s="43" t="s">
        <v>63</v>
      </c>
      <c r="H252" s="11"/>
      <c r="I252" s="43" t="s">
        <v>56</v>
      </c>
      <c r="J252" s="43" t="s">
        <v>77</v>
      </c>
      <c r="K252" s="43" t="s">
        <v>241</v>
      </c>
      <c r="L252" s="45" t="s">
        <v>32</v>
      </c>
      <c r="M252" s="43" t="s">
        <v>178</v>
      </c>
      <c r="N252" s="66">
        <v>45905.49728009259</v>
      </c>
      <c r="O252" s="135" t="s">
        <v>419</v>
      </c>
      <c r="P252" s="20"/>
    </row>
    <row r="253">
      <c r="B253" s="13">
        <v>188.0</v>
      </c>
      <c r="C253" s="119" t="s">
        <v>353</v>
      </c>
      <c r="D253" s="134" t="s">
        <v>421</v>
      </c>
      <c r="E253" s="29" t="s">
        <v>397</v>
      </c>
      <c r="F253" s="29" t="s">
        <v>62</v>
      </c>
      <c r="G253" s="30" t="s">
        <v>63</v>
      </c>
      <c r="H253" s="8"/>
      <c r="I253" s="30" t="s">
        <v>56</v>
      </c>
      <c r="J253" s="30" t="s">
        <v>77</v>
      </c>
      <c r="K253" s="30" t="s">
        <v>241</v>
      </c>
      <c r="L253" s="31" t="s">
        <v>32</v>
      </c>
      <c r="M253" s="30" t="s">
        <v>178</v>
      </c>
      <c r="N253" s="65">
        <v>45905.48416666667</v>
      </c>
      <c r="O253" s="135" t="s">
        <v>419</v>
      </c>
      <c r="P253" s="20"/>
    </row>
    <row r="254">
      <c r="B254" s="10">
        <v>189.0</v>
      </c>
      <c r="C254" s="119" t="s">
        <v>353</v>
      </c>
      <c r="D254" s="79" t="s">
        <v>422</v>
      </c>
      <c r="E254" s="42" t="s">
        <v>73</v>
      </c>
      <c r="F254" s="42" t="s">
        <v>62</v>
      </c>
      <c r="G254" s="43" t="s">
        <v>63</v>
      </c>
      <c r="H254" s="11"/>
      <c r="I254" s="43" t="s">
        <v>56</v>
      </c>
      <c r="J254" s="43" t="s">
        <v>77</v>
      </c>
      <c r="K254" s="43" t="s">
        <v>241</v>
      </c>
      <c r="L254" s="45" t="s">
        <v>32</v>
      </c>
      <c r="M254" s="43" t="s">
        <v>178</v>
      </c>
      <c r="N254" s="66">
        <v>45905.57236111111</v>
      </c>
      <c r="O254" s="135" t="s">
        <v>419</v>
      </c>
      <c r="P254" s="20"/>
    </row>
    <row r="255">
      <c r="B255" s="13">
        <v>190.0</v>
      </c>
      <c r="C255" s="119" t="s">
        <v>353</v>
      </c>
      <c r="D255" s="71" t="s">
        <v>423</v>
      </c>
      <c r="E255" s="29" t="s">
        <v>397</v>
      </c>
      <c r="F255" s="29" t="s">
        <v>62</v>
      </c>
      <c r="G255" s="30" t="s">
        <v>63</v>
      </c>
      <c r="H255" s="8"/>
      <c r="I255" s="30" t="s">
        <v>56</v>
      </c>
      <c r="J255" s="30" t="s">
        <v>77</v>
      </c>
      <c r="K255" s="30" t="s">
        <v>241</v>
      </c>
      <c r="L255" s="31" t="s">
        <v>32</v>
      </c>
      <c r="M255" s="30" t="s">
        <v>178</v>
      </c>
      <c r="N255" s="29" t="s">
        <v>424</v>
      </c>
      <c r="O255" s="135" t="s">
        <v>419</v>
      </c>
      <c r="P255" s="20"/>
    </row>
    <row r="256">
      <c r="B256" s="10">
        <v>191.0</v>
      </c>
      <c r="C256" s="119" t="s">
        <v>353</v>
      </c>
      <c r="D256" s="79" t="s">
        <v>425</v>
      </c>
      <c r="E256" s="42" t="s">
        <v>397</v>
      </c>
      <c r="F256" s="42" t="s">
        <v>62</v>
      </c>
      <c r="G256" s="43" t="s">
        <v>63</v>
      </c>
      <c r="H256" s="11"/>
      <c r="I256" s="43" t="s">
        <v>56</v>
      </c>
      <c r="J256" s="43" t="s">
        <v>77</v>
      </c>
      <c r="K256" s="43" t="s">
        <v>241</v>
      </c>
      <c r="L256" s="45" t="s">
        <v>32</v>
      </c>
      <c r="M256" s="43" t="s">
        <v>178</v>
      </c>
      <c r="N256" s="66">
        <v>45905.57859953704</v>
      </c>
      <c r="O256" s="135" t="s">
        <v>419</v>
      </c>
      <c r="P256" s="20"/>
    </row>
    <row r="257">
      <c r="B257" s="13">
        <v>192.0</v>
      </c>
      <c r="C257" s="119" t="s">
        <v>353</v>
      </c>
      <c r="D257" s="76" t="s">
        <v>426</v>
      </c>
      <c r="E257" s="29" t="s">
        <v>401</v>
      </c>
      <c r="F257" s="29" t="s">
        <v>62</v>
      </c>
      <c r="G257" s="30" t="s">
        <v>63</v>
      </c>
      <c r="H257" s="8"/>
      <c r="I257" s="30" t="s">
        <v>56</v>
      </c>
      <c r="J257" s="30" t="s">
        <v>77</v>
      </c>
      <c r="K257" s="30" t="s">
        <v>241</v>
      </c>
      <c r="L257" s="31" t="s">
        <v>32</v>
      </c>
      <c r="M257" s="30" t="s">
        <v>178</v>
      </c>
      <c r="N257" s="65">
        <v>45905.570601851854</v>
      </c>
      <c r="O257" s="135" t="s">
        <v>419</v>
      </c>
      <c r="P257" s="20"/>
    </row>
    <row r="258">
      <c r="B258" s="10">
        <v>193.0</v>
      </c>
      <c r="C258" s="119" t="s">
        <v>353</v>
      </c>
      <c r="D258" s="79" t="s">
        <v>427</v>
      </c>
      <c r="E258" s="42" t="s">
        <v>73</v>
      </c>
      <c r="F258" s="42" t="s">
        <v>62</v>
      </c>
      <c r="G258" s="43" t="s">
        <v>63</v>
      </c>
      <c r="H258" s="11"/>
      <c r="I258" s="43" t="s">
        <v>56</v>
      </c>
      <c r="J258" s="43" t="s">
        <v>77</v>
      </c>
      <c r="K258" s="43" t="s">
        <v>241</v>
      </c>
      <c r="L258" s="45" t="s">
        <v>32</v>
      </c>
      <c r="M258" s="43" t="s">
        <v>178</v>
      </c>
      <c r="N258" s="66">
        <v>45905.576215277775</v>
      </c>
      <c r="O258" s="135" t="s">
        <v>419</v>
      </c>
      <c r="P258" s="20"/>
    </row>
    <row r="259">
      <c r="B259" s="13">
        <v>194.0</v>
      </c>
      <c r="C259" s="119" t="s">
        <v>353</v>
      </c>
      <c r="D259" s="76" t="s">
        <v>428</v>
      </c>
      <c r="E259" s="29" t="s">
        <v>73</v>
      </c>
      <c r="F259" s="29" t="s">
        <v>62</v>
      </c>
      <c r="G259" s="30" t="s">
        <v>63</v>
      </c>
      <c r="H259" s="8"/>
      <c r="I259" s="30" t="s">
        <v>56</v>
      </c>
      <c r="J259" s="30" t="s">
        <v>77</v>
      </c>
      <c r="K259" s="30" t="s">
        <v>241</v>
      </c>
      <c r="L259" s="31" t="s">
        <v>32</v>
      </c>
      <c r="M259" s="30" t="s">
        <v>178</v>
      </c>
      <c r="N259" s="65">
        <v>45905.57541666667</v>
      </c>
      <c r="O259" s="135" t="s">
        <v>419</v>
      </c>
      <c r="P259" s="20"/>
    </row>
    <row r="260">
      <c r="B260" s="10">
        <v>195.0</v>
      </c>
      <c r="C260" s="119" t="s">
        <v>353</v>
      </c>
      <c r="D260" s="80" t="s">
        <v>429</v>
      </c>
      <c r="E260" s="42" t="s">
        <v>430</v>
      </c>
      <c r="F260" s="42" t="s">
        <v>62</v>
      </c>
      <c r="G260" s="43" t="s">
        <v>63</v>
      </c>
      <c r="H260" s="11"/>
      <c r="I260" s="43" t="s">
        <v>56</v>
      </c>
      <c r="J260" s="43" t="s">
        <v>77</v>
      </c>
      <c r="K260" s="43" t="s">
        <v>241</v>
      </c>
      <c r="L260" s="45" t="s">
        <v>32</v>
      </c>
      <c r="M260" s="43" t="s">
        <v>178</v>
      </c>
      <c r="N260" s="66">
        <v>45905.57665509259</v>
      </c>
      <c r="O260" s="135" t="s">
        <v>419</v>
      </c>
      <c r="P260" s="20"/>
    </row>
    <row r="261">
      <c r="B261" s="13">
        <v>196.0</v>
      </c>
      <c r="C261" s="119" t="s">
        <v>353</v>
      </c>
      <c r="D261" s="71" t="s">
        <v>429</v>
      </c>
      <c r="E261" s="29" t="s">
        <v>431</v>
      </c>
      <c r="F261" s="29" t="s">
        <v>62</v>
      </c>
      <c r="G261" s="30" t="s">
        <v>63</v>
      </c>
      <c r="H261" s="8"/>
      <c r="I261" s="30" t="s">
        <v>56</v>
      </c>
      <c r="J261" s="30" t="s">
        <v>77</v>
      </c>
      <c r="K261" s="30" t="s">
        <v>241</v>
      </c>
      <c r="L261" s="31" t="s">
        <v>32</v>
      </c>
      <c r="M261" s="30" t="s">
        <v>178</v>
      </c>
      <c r="N261" s="65">
        <v>45905.57702546296</v>
      </c>
      <c r="O261" s="135" t="s">
        <v>419</v>
      </c>
      <c r="P261" s="20"/>
    </row>
    <row r="262">
      <c r="B262" s="10">
        <v>197.0</v>
      </c>
      <c r="C262" s="119" t="s">
        <v>353</v>
      </c>
      <c r="D262" s="79" t="s">
        <v>432</v>
      </c>
      <c r="E262" s="42" t="s">
        <v>73</v>
      </c>
      <c r="F262" s="42" t="s">
        <v>26</v>
      </c>
      <c r="G262" s="43" t="s">
        <v>27</v>
      </c>
      <c r="H262" s="11"/>
      <c r="I262" s="43" t="s">
        <v>29</v>
      </c>
      <c r="J262" s="43" t="s">
        <v>77</v>
      </c>
      <c r="K262" s="43" t="s">
        <v>241</v>
      </c>
      <c r="L262" s="45" t="s">
        <v>32</v>
      </c>
      <c r="M262" s="43" t="s">
        <v>178</v>
      </c>
      <c r="N262" s="42" t="s">
        <v>433</v>
      </c>
      <c r="O262" s="135" t="s">
        <v>419</v>
      </c>
      <c r="P262" s="20"/>
    </row>
    <row r="263">
      <c r="B263" s="13">
        <v>198.0</v>
      </c>
      <c r="C263" s="119" t="s">
        <v>353</v>
      </c>
      <c r="D263" s="76" t="s">
        <v>421</v>
      </c>
      <c r="E263" s="29" t="s">
        <v>401</v>
      </c>
      <c r="F263" s="29" t="s">
        <v>62</v>
      </c>
      <c r="G263" s="30" t="s">
        <v>63</v>
      </c>
      <c r="H263" s="8"/>
      <c r="I263" s="30" t="s">
        <v>56</v>
      </c>
      <c r="J263" s="30" t="s">
        <v>77</v>
      </c>
      <c r="K263" s="30" t="s">
        <v>241</v>
      </c>
      <c r="L263" s="31" t="s">
        <v>32</v>
      </c>
      <c r="M263" s="30" t="s">
        <v>178</v>
      </c>
      <c r="N263" s="65">
        <v>45905.5949537037</v>
      </c>
      <c r="O263" s="135" t="s">
        <v>419</v>
      </c>
      <c r="P263" s="20"/>
    </row>
    <row r="264">
      <c r="B264" s="10">
        <v>199.0</v>
      </c>
      <c r="C264" s="119" t="s">
        <v>353</v>
      </c>
      <c r="D264" s="79" t="s">
        <v>434</v>
      </c>
      <c r="E264" s="42" t="s">
        <v>397</v>
      </c>
      <c r="F264" s="42" t="s">
        <v>62</v>
      </c>
      <c r="G264" s="43" t="s">
        <v>63</v>
      </c>
      <c r="H264" s="11"/>
      <c r="I264" s="43" t="s">
        <v>56</v>
      </c>
      <c r="J264" s="43" t="s">
        <v>77</v>
      </c>
      <c r="K264" s="43" t="s">
        <v>241</v>
      </c>
      <c r="L264" s="45" t="s">
        <v>32</v>
      </c>
      <c r="M264" s="43" t="s">
        <v>178</v>
      </c>
      <c r="N264" s="66">
        <v>45905.59501157407</v>
      </c>
      <c r="O264" s="135" t="s">
        <v>419</v>
      </c>
      <c r="P264" s="20"/>
    </row>
    <row r="265">
      <c r="B265" s="13">
        <v>200.0</v>
      </c>
      <c r="C265" s="119" t="s">
        <v>353</v>
      </c>
      <c r="D265" s="76" t="s">
        <v>435</v>
      </c>
      <c r="E265" s="29" t="s">
        <v>436</v>
      </c>
      <c r="F265" s="29" t="s">
        <v>62</v>
      </c>
      <c r="G265" s="30" t="s">
        <v>63</v>
      </c>
      <c r="H265" s="8"/>
      <c r="I265" s="30" t="s">
        <v>56</v>
      </c>
      <c r="J265" s="30" t="s">
        <v>77</v>
      </c>
      <c r="K265" s="30" t="s">
        <v>241</v>
      </c>
      <c r="L265" s="31" t="s">
        <v>32</v>
      </c>
      <c r="M265" s="30" t="s">
        <v>178</v>
      </c>
      <c r="N265" s="65">
        <v>45905.591527777775</v>
      </c>
      <c r="O265" s="135" t="s">
        <v>419</v>
      </c>
      <c r="P265" s="20"/>
    </row>
    <row r="266">
      <c r="B266" s="10">
        <v>201.0</v>
      </c>
      <c r="C266" s="119" t="s">
        <v>353</v>
      </c>
      <c r="D266" s="79" t="s">
        <v>437</v>
      </c>
      <c r="E266" s="42" t="s">
        <v>438</v>
      </c>
      <c r="F266" s="42" t="s">
        <v>62</v>
      </c>
      <c r="G266" s="43" t="s">
        <v>63</v>
      </c>
      <c r="H266" s="11"/>
      <c r="I266" s="43" t="s">
        <v>56</v>
      </c>
      <c r="J266" s="43" t="s">
        <v>77</v>
      </c>
      <c r="K266" s="43" t="s">
        <v>241</v>
      </c>
      <c r="L266" s="45" t="s">
        <v>32</v>
      </c>
      <c r="M266" s="43" t="s">
        <v>178</v>
      </c>
      <c r="N266" s="42" t="s">
        <v>439</v>
      </c>
      <c r="O266" s="135" t="s">
        <v>419</v>
      </c>
      <c r="P266" s="20"/>
    </row>
    <row r="267">
      <c r="B267" s="13">
        <v>202.0</v>
      </c>
      <c r="C267" s="119" t="s">
        <v>353</v>
      </c>
      <c r="D267" s="76" t="s">
        <v>435</v>
      </c>
      <c r="E267" s="29" t="s">
        <v>440</v>
      </c>
      <c r="F267" s="29" t="s">
        <v>62</v>
      </c>
      <c r="G267" s="30" t="s">
        <v>63</v>
      </c>
      <c r="H267" s="8"/>
      <c r="I267" s="30" t="s">
        <v>56</v>
      </c>
      <c r="J267" s="30" t="s">
        <v>77</v>
      </c>
      <c r="K267" s="30" t="s">
        <v>241</v>
      </c>
      <c r="L267" s="31" t="s">
        <v>32</v>
      </c>
      <c r="M267" s="30" t="s">
        <v>178</v>
      </c>
      <c r="N267" s="65">
        <v>45905.591157407405</v>
      </c>
      <c r="O267" s="135" t="s">
        <v>419</v>
      </c>
      <c r="P267" s="20"/>
    </row>
    <row r="268">
      <c r="B268" s="10">
        <v>203.0</v>
      </c>
      <c r="C268" s="119" t="s">
        <v>353</v>
      </c>
      <c r="D268" s="79" t="s">
        <v>435</v>
      </c>
      <c r="E268" s="42" t="s">
        <v>441</v>
      </c>
      <c r="F268" s="42" t="s">
        <v>62</v>
      </c>
      <c r="G268" s="43" t="s">
        <v>63</v>
      </c>
      <c r="H268" s="11"/>
      <c r="I268" s="43" t="s">
        <v>56</v>
      </c>
      <c r="J268" s="43" t="s">
        <v>77</v>
      </c>
      <c r="K268" s="43" t="s">
        <v>241</v>
      </c>
      <c r="L268" s="45" t="s">
        <v>32</v>
      </c>
      <c r="M268" s="43" t="s">
        <v>178</v>
      </c>
      <c r="N268" s="66">
        <v>45905.59111111111</v>
      </c>
      <c r="O268" s="135" t="s">
        <v>419</v>
      </c>
      <c r="P268" s="20"/>
    </row>
    <row r="269">
      <c r="B269" s="13">
        <v>204.0</v>
      </c>
      <c r="C269" s="119" t="s">
        <v>353</v>
      </c>
      <c r="D269" s="76" t="s">
        <v>442</v>
      </c>
      <c r="E269" s="29" t="s">
        <v>443</v>
      </c>
      <c r="F269" s="29" t="s">
        <v>62</v>
      </c>
      <c r="G269" s="30" t="s">
        <v>63</v>
      </c>
      <c r="H269" s="8"/>
      <c r="I269" s="30" t="s">
        <v>56</v>
      </c>
      <c r="J269" s="30" t="s">
        <v>77</v>
      </c>
      <c r="K269" s="30" t="s">
        <v>241</v>
      </c>
      <c r="L269" s="31" t="s">
        <v>32</v>
      </c>
      <c r="M269" s="30" t="s">
        <v>178</v>
      </c>
      <c r="N269" s="65">
        <v>45905.59490740741</v>
      </c>
      <c r="O269" s="135" t="s">
        <v>419</v>
      </c>
      <c r="P269" s="20"/>
    </row>
    <row r="270">
      <c r="B270" s="10">
        <v>205.0</v>
      </c>
      <c r="C270" s="119" t="s">
        <v>353</v>
      </c>
      <c r="D270" s="79" t="s">
        <v>442</v>
      </c>
      <c r="E270" s="42" t="s">
        <v>444</v>
      </c>
      <c r="F270" s="42" t="s">
        <v>62</v>
      </c>
      <c r="G270" s="43" t="s">
        <v>63</v>
      </c>
      <c r="H270" s="11"/>
      <c r="I270" s="43" t="s">
        <v>56</v>
      </c>
      <c r="J270" s="43" t="s">
        <v>77</v>
      </c>
      <c r="K270" s="43" t="s">
        <v>241</v>
      </c>
      <c r="L270" s="45" t="s">
        <v>32</v>
      </c>
      <c r="M270" s="43" t="s">
        <v>178</v>
      </c>
      <c r="N270" s="66">
        <v>45905.59484953704</v>
      </c>
      <c r="O270" s="135" t="s">
        <v>419</v>
      </c>
      <c r="P270" s="20"/>
    </row>
    <row r="271">
      <c r="B271" s="13">
        <v>206.0</v>
      </c>
      <c r="C271" s="119" t="s">
        <v>353</v>
      </c>
      <c r="D271" s="76" t="s">
        <v>442</v>
      </c>
      <c r="E271" s="29" t="s">
        <v>445</v>
      </c>
      <c r="F271" s="29" t="s">
        <v>62</v>
      </c>
      <c r="G271" s="30" t="s">
        <v>63</v>
      </c>
      <c r="H271" s="8"/>
      <c r="I271" s="30" t="s">
        <v>56</v>
      </c>
      <c r="J271" s="30" t="s">
        <v>77</v>
      </c>
      <c r="K271" s="30" t="s">
        <v>241</v>
      </c>
      <c r="L271" s="31" t="s">
        <v>32</v>
      </c>
      <c r="M271" s="30" t="s">
        <v>178</v>
      </c>
      <c r="N271" s="65">
        <v>45905.59427083333</v>
      </c>
      <c r="O271" s="135" t="s">
        <v>419</v>
      </c>
      <c r="P271" s="20"/>
    </row>
    <row r="272">
      <c r="B272" s="10">
        <v>207.0</v>
      </c>
      <c r="C272" s="119" t="s">
        <v>353</v>
      </c>
      <c r="D272" s="79" t="s">
        <v>442</v>
      </c>
      <c r="E272" s="42" t="s">
        <v>446</v>
      </c>
      <c r="F272" s="42" t="s">
        <v>62</v>
      </c>
      <c r="G272" s="43" t="s">
        <v>63</v>
      </c>
      <c r="H272" s="11"/>
      <c r="I272" s="43" t="s">
        <v>56</v>
      </c>
      <c r="J272" s="43" t="s">
        <v>77</v>
      </c>
      <c r="K272" s="43" t="s">
        <v>241</v>
      </c>
      <c r="L272" s="45" t="s">
        <v>32</v>
      </c>
      <c r="M272" s="43" t="s">
        <v>178</v>
      </c>
      <c r="N272" s="66">
        <v>45905.59462962963</v>
      </c>
      <c r="O272" s="135" t="s">
        <v>419</v>
      </c>
      <c r="P272" s="20"/>
    </row>
    <row r="273">
      <c r="B273" s="13">
        <v>208.0</v>
      </c>
      <c r="C273" s="119" t="s">
        <v>353</v>
      </c>
      <c r="D273" s="76" t="s">
        <v>442</v>
      </c>
      <c r="E273" s="29" t="s">
        <v>441</v>
      </c>
      <c r="F273" s="29" t="s">
        <v>62</v>
      </c>
      <c r="G273" s="30" t="s">
        <v>63</v>
      </c>
      <c r="H273" s="8"/>
      <c r="I273" s="30" t="s">
        <v>56</v>
      </c>
      <c r="J273" s="30" t="s">
        <v>77</v>
      </c>
      <c r="K273" s="30" t="s">
        <v>241</v>
      </c>
      <c r="L273" s="31" t="s">
        <v>32</v>
      </c>
      <c r="M273" s="30" t="s">
        <v>178</v>
      </c>
      <c r="N273" s="65">
        <v>45905.59694444444</v>
      </c>
      <c r="O273" s="135" t="s">
        <v>419</v>
      </c>
      <c r="P273" s="20"/>
    </row>
    <row r="274">
      <c r="B274" s="10">
        <v>209.0</v>
      </c>
      <c r="C274" s="119" t="s">
        <v>353</v>
      </c>
      <c r="D274" s="79" t="s">
        <v>447</v>
      </c>
      <c r="E274" s="42" t="s">
        <v>443</v>
      </c>
      <c r="F274" s="42" t="s">
        <v>62</v>
      </c>
      <c r="G274" s="43" t="s">
        <v>63</v>
      </c>
      <c r="H274" s="11"/>
      <c r="I274" s="43" t="s">
        <v>56</v>
      </c>
      <c r="J274" s="43" t="s">
        <v>77</v>
      </c>
      <c r="K274" s="43" t="s">
        <v>241</v>
      </c>
      <c r="L274" s="45" t="s">
        <v>32</v>
      </c>
      <c r="M274" s="43" t="s">
        <v>178</v>
      </c>
      <c r="N274" s="66">
        <v>45905.596817129626</v>
      </c>
      <c r="O274" s="135" t="s">
        <v>419</v>
      </c>
      <c r="P274" s="20"/>
    </row>
    <row r="275">
      <c r="B275" s="13">
        <v>210.0</v>
      </c>
      <c r="C275" s="119" t="s">
        <v>353</v>
      </c>
      <c r="D275" s="76" t="s">
        <v>447</v>
      </c>
      <c r="E275" s="29" t="s">
        <v>448</v>
      </c>
      <c r="F275" s="29" t="s">
        <v>62</v>
      </c>
      <c r="G275" s="30" t="s">
        <v>63</v>
      </c>
      <c r="H275" s="8"/>
      <c r="I275" s="30" t="s">
        <v>56</v>
      </c>
      <c r="J275" s="30" t="s">
        <v>77</v>
      </c>
      <c r="K275" s="30" t="s">
        <v>241</v>
      </c>
      <c r="L275" s="31" t="s">
        <v>32</v>
      </c>
      <c r="M275" s="30" t="s">
        <v>178</v>
      </c>
      <c r="N275" s="65">
        <v>45905.59685185185</v>
      </c>
      <c r="O275" s="135" t="s">
        <v>419</v>
      </c>
      <c r="P275" s="20"/>
    </row>
    <row r="276">
      <c r="B276" s="10">
        <v>211.0</v>
      </c>
      <c r="C276" s="119" t="s">
        <v>353</v>
      </c>
      <c r="D276" s="79" t="s">
        <v>447</v>
      </c>
      <c r="E276" s="42" t="s">
        <v>436</v>
      </c>
      <c r="F276" s="42" t="s">
        <v>62</v>
      </c>
      <c r="G276" s="43" t="s">
        <v>63</v>
      </c>
      <c r="H276" s="11"/>
      <c r="I276" s="43" t="s">
        <v>56</v>
      </c>
      <c r="J276" s="43" t="s">
        <v>77</v>
      </c>
      <c r="K276" s="43" t="s">
        <v>241</v>
      </c>
      <c r="L276" s="45" t="s">
        <v>32</v>
      </c>
      <c r="M276" s="43" t="s">
        <v>178</v>
      </c>
      <c r="N276" s="66">
        <v>45905.59622685185</v>
      </c>
      <c r="O276" s="135" t="s">
        <v>419</v>
      </c>
      <c r="P276" s="20"/>
    </row>
    <row r="277">
      <c r="B277" s="13">
        <v>212.0</v>
      </c>
      <c r="C277" s="119" t="s">
        <v>353</v>
      </c>
      <c r="D277" s="76" t="s">
        <v>447</v>
      </c>
      <c r="E277" s="29" t="s">
        <v>438</v>
      </c>
      <c r="F277" s="29" t="s">
        <v>62</v>
      </c>
      <c r="G277" s="30" t="s">
        <v>63</v>
      </c>
      <c r="H277" s="8"/>
      <c r="I277" s="30" t="s">
        <v>56</v>
      </c>
      <c r="J277" s="30" t="s">
        <v>77</v>
      </c>
      <c r="K277" s="30" t="s">
        <v>241</v>
      </c>
      <c r="L277" s="31" t="s">
        <v>32</v>
      </c>
      <c r="M277" s="30" t="s">
        <v>178</v>
      </c>
      <c r="N277" s="65">
        <v>45905.59642361111</v>
      </c>
      <c r="O277" s="135" t="s">
        <v>419</v>
      </c>
      <c r="P277" s="20"/>
    </row>
    <row r="278">
      <c r="B278" s="10">
        <v>213.0</v>
      </c>
      <c r="C278" s="119" t="s">
        <v>353</v>
      </c>
      <c r="D278" s="79" t="s">
        <v>447</v>
      </c>
      <c r="E278" s="42" t="s">
        <v>440</v>
      </c>
      <c r="F278" s="42" t="s">
        <v>62</v>
      </c>
      <c r="G278" s="43" t="s">
        <v>63</v>
      </c>
      <c r="H278" s="11"/>
      <c r="I278" s="43" t="s">
        <v>56</v>
      </c>
      <c r="J278" s="43" t="s">
        <v>77</v>
      </c>
      <c r="K278" s="43" t="s">
        <v>241</v>
      </c>
      <c r="L278" s="45" t="s">
        <v>32</v>
      </c>
      <c r="M278" s="43" t="s">
        <v>178</v>
      </c>
      <c r="N278" s="66">
        <v>45905.59652777778</v>
      </c>
      <c r="O278" s="135" t="s">
        <v>419</v>
      </c>
      <c r="P278" s="20"/>
    </row>
    <row r="279">
      <c r="B279" s="13">
        <v>214.0</v>
      </c>
      <c r="C279" s="119" t="s">
        <v>353</v>
      </c>
      <c r="D279" s="76" t="s">
        <v>447</v>
      </c>
      <c r="E279" s="29" t="s">
        <v>441</v>
      </c>
      <c r="F279" s="29" t="s">
        <v>62</v>
      </c>
      <c r="G279" s="30" t="s">
        <v>63</v>
      </c>
      <c r="H279" s="8"/>
      <c r="I279" s="30" t="s">
        <v>56</v>
      </c>
      <c r="J279" s="30" t="s">
        <v>77</v>
      </c>
      <c r="K279" s="30" t="s">
        <v>241</v>
      </c>
      <c r="L279" s="31" t="s">
        <v>32</v>
      </c>
      <c r="M279" s="30" t="s">
        <v>178</v>
      </c>
      <c r="N279" s="65">
        <v>45905.601493055554</v>
      </c>
      <c r="O279" s="135" t="s">
        <v>419</v>
      </c>
      <c r="P279" s="20"/>
    </row>
    <row r="280">
      <c r="B280" s="10">
        <v>215.0</v>
      </c>
      <c r="C280" s="119" t="s">
        <v>353</v>
      </c>
      <c r="D280" s="79" t="s">
        <v>449</v>
      </c>
      <c r="E280" s="42" t="s">
        <v>443</v>
      </c>
      <c r="F280" s="42" t="s">
        <v>62</v>
      </c>
      <c r="G280" s="43" t="s">
        <v>63</v>
      </c>
      <c r="H280" s="11"/>
      <c r="I280" s="43" t="s">
        <v>56</v>
      </c>
      <c r="J280" s="43" t="s">
        <v>77</v>
      </c>
      <c r="K280" s="43" t="s">
        <v>241</v>
      </c>
      <c r="L280" s="45" t="s">
        <v>32</v>
      </c>
      <c r="M280" s="43" t="s">
        <v>178</v>
      </c>
      <c r="N280" s="66">
        <v>45905.60138888889</v>
      </c>
      <c r="O280" s="135" t="s">
        <v>419</v>
      </c>
      <c r="P280" s="20"/>
    </row>
    <row r="281">
      <c r="B281" s="13">
        <v>216.0</v>
      </c>
      <c r="C281" s="119" t="s">
        <v>353</v>
      </c>
      <c r="D281" s="76" t="s">
        <v>449</v>
      </c>
      <c r="E281" s="29" t="s">
        <v>444</v>
      </c>
      <c r="F281" s="29" t="s">
        <v>62</v>
      </c>
      <c r="G281" s="30" t="s">
        <v>63</v>
      </c>
      <c r="H281" s="8"/>
      <c r="I281" s="30" t="s">
        <v>56</v>
      </c>
      <c r="J281" s="30" t="s">
        <v>77</v>
      </c>
      <c r="K281" s="30" t="s">
        <v>241</v>
      </c>
      <c r="L281" s="31" t="s">
        <v>32</v>
      </c>
      <c r="M281" s="30" t="s">
        <v>178</v>
      </c>
      <c r="N281" s="65">
        <v>45905.60113425926</v>
      </c>
      <c r="O281" s="135" t="s">
        <v>419</v>
      </c>
      <c r="P281" s="20"/>
    </row>
    <row r="282">
      <c r="B282" s="10">
        <v>217.0</v>
      </c>
      <c r="C282" s="119" t="s">
        <v>353</v>
      </c>
      <c r="D282" s="79" t="s">
        <v>449</v>
      </c>
      <c r="E282" s="42" t="s">
        <v>445</v>
      </c>
      <c r="F282" s="42" t="s">
        <v>62</v>
      </c>
      <c r="G282" s="43" t="s">
        <v>63</v>
      </c>
      <c r="H282" s="11"/>
      <c r="I282" s="43" t="s">
        <v>56</v>
      </c>
      <c r="J282" s="43" t="s">
        <v>77</v>
      </c>
      <c r="K282" s="43" t="s">
        <v>241</v>
      </c>
      <c r="L282" s="45" t="s">
        <v>32</v>
      </c>
      <c r="M282" s="43" t="s">
        <v>178</v>
      </c>
      <c r="N282" s="66">
        <v>45905.60114583333</v>
      </c>
      <c r="O282" s="135" t="s">
        <v>419</v>
      </c>
      <c r="P282" s="20"/>
    </row>
    <row r="283">
      <c r="B283" s="13">
        <v>218.0</v>
      </c>
      <c r="C283" s="119" t="s">
        <v>353</v>
      </c>
      <c r="D283" s="76" t="s">
        <v>449</v>
      </c>
      <c r="E283" s="29" t="s">
        <v>446</v>
      </c>
      <c r="F283" s="29" t="s">
        <v>62</v>
      </c>
      <c r="G283" s="30" t="s">
        <v>63</v>
      </c>
      <c r="H283" s="8"/>
      <c r="I283" s="30" t="s">
        <v>56</v>
      </c>
      <c r="J283" s="30" t="s">
        <v>77</v>
      </c>
      <c r="K283" s="30" t="s">
        <v>241</v>
      </c>
      <c r="L283" s="31" t="s">
        <v>32</v>
      </c>
      <c r="M283" s="30" t="s">
        <v>178</v>
      </c>
      <c r="N283" s="65">
        <v>45905.601331018515</v>
      </c>
      <c r="O283" s="135" t="s">
        <v>419</v>
      </c>
      <c r="P283" s="20"/>
    </row>
    <row r="284">
      <c r="B284" s="10">
        <v>219.0</v>
      </c>
      <c r="C284" s="119" t="s">
        <v>353</v>
      </c>
      <c r="D284" s="79" t="s">
        <v>449</v>
      </c>
      <c r="E284" s="42" t="s">
        <v>441</v>
      </c>
      <c r="F284" s="42" t="s">
        <v>62</v>
      </c>
      <c r="G284" s="43" t="s">
        <v>63</v>
      </c>
      <c r="H284" s="11"/>
      <c r="I284" s="43" t="s">
        <v>56</v>
      </c>
      <c r="J284" s="43" t="s">
        <v>77</v>
      </c>
      <c r="K284" s="43" t="s">
        <v>241</v>
      </c>
      <c r="L284" s="45" t="s">
        <v>32</v>
      </c>
      <c r="M284" s="43" t="s">
        <v>178</v>
      </c>
      <c r="N284" s="42" t="s">
        <v>450</v>
      </c>
      <c r="O284" s="135" t="s">
        <v>419</v>
      </c>
      <c r="P284" s="20"/>
    </row>
    <row r="285">
      <c r="B285" s="13">
        <v>220.0</v>
      </c>
      <c r="C285" s="119" t="s">
        <v>353</v>
      </c>
      <c r="D285" s="76" t="s">
        <v>451</v>
      </c>
      <c r="E285" s="29" t="s">
        <v>397</v>
      </c>
      <c r="F285" s="29" t="s">
        <v>62</v>
      </c>
      <c r="G285" s="30" t="s">
        <v>63</v>
      </c>
      <c r="H285" s="8"/>
      <c r="I285" s="30" t="s">
        <v>56</v>
      </c>
      <c r="J285" s="30" t="s">
        <v>77</v>
      </c>
      <c r="K285" s="30" t="s">
        <v>241</v>
      </c>
      <c r="L285" s="31" t="s">
        <v>32</v>
      </c>
      <c r="M285" s="30" t="s">
        <v>178</v>
      </c>
      <c r="N285" s="29" t="s">
        <v>452</v>
      </c>
      <c r="O285" s="135" t="s">
        <v>419</v>
      </c>
      <c r="P285" s="20"/>
    </row>
    <row r="286">
      <c r="B286" s="10">
        <v>221.0</v>
      </c>
      <c r="C286" s="119" t="s">
        <v>353</v>
      </c>
      <c r="D286" s="79" t="s">
        <v>451</v>
      </c>
      <c r="E286" s="42" t="s">
        <v>443</v>
      </c>
      <c r="F286" s="42" t="s">
        <v>62</v>
      </c>
      <c r="G286" s="43" t="s">
        <v>63</v>
      </c>
      <c r="H286" s="11"/>
      <c r="I286" s="43" t="s">
        <v>56</v>
      </c>
      <c r="J286" s="43" t="s">
        <v>77</v>
      </c>
      <c r="K286" s="43" t="s">
        <v>241</v>
      </c>
      <c r="L286" s="45" t="s">
        <v>32</v>
      </c>
      <c r="M286" s="43" t="s">
        <v>178</v>
      </c>
      <c r="N286" s="66">
        <v>45905.60872685185</v>
      </c>
      <c r="O286" s="135" t="s">
        <v>419</v>
      </c>
      <c r="P286" s="20"/>
    </row>
    <row r="287">
      <c r="B287" s="13">
        <v>222.0</v>
      </c>
      <c r="C287" s="119" t="s">
        <v>353</v>
      </c>
      <c r="D287" s="76" t="s">
        <v>451</v>
      </c>
      <c r="E287" s="29" t="s">
        <v>396</v>
      </c>
      <c r="F287" s="29" t="s">
        <v>62</v>
      </c>
      <c r="G287" s="30" t="s">
        <v>63</v>
      </c>
      <c r="H287" s="8"/>
      <c r="I287" s="30" t="s">
        <v>56</v>
      </c>
      <c r="J287" s="30" t="s">
        <v>77</v>
      </c>
      <c r="K287" s="30" t="s">
        <v>241</v>
      </c>
      <c r="L287" s="31" t="s">
        <v>32</v>
      </c>
      <c r="M287" s="30" t="s">
        <v>178</v>
      </c>
      <c r="N287" s="65">
        <v>45905.6084837963</v>
      </c>
      <c r="O287" s="135" t="s">
        <v>419</v>
      </c>
      <c r="P287" s="20"/>
    </row>
    <row r="288">
      <c r="B288" s="10">
        <v>223.0</v>
      </c>
      <c r="C288" s="119" t="s">
        <v>353</v>
      </c>
      <c r="D288" s="79" t="s">
        <v>451</v>
      </c>
      <c r="E288" s="42" t="s">
        <v>453</v>
      </c>
      <c r="F288" s="42" t="s">
        <v>62</v>
      </c>
      <c r="G288" s="43" t="s">
        <v>63</v>
      </c>
      <c r="H288" s="11"/>
      <c r="I288" s="43" t="s">
        <v>56</v>
      </c>
      <c r="J288" s="43" t="s">
        <v>77</v>
      </c>
      <c r="K288" s="43" t="s">
        <v>241</v>
      </c>
      <c r="L288" s="45" t="s">
        <v>32</v>
      </c>
      <c r="M288" s="43" t="s">
        <v>178</v>
      </c>
      <c r="N288" s="66">
        <v>45905.60864583333</v>
      </c>
      <c r="O288" s="135" t="s">
        <v>419</v>
      </c>
      <c r="P288" s="20"/>
    </row>
    <row r="289">
      <c r="B289" s="13">
        <v>224.0</v>
      </c>
      <c r="C289" s="119" t="s">
        <v>353</v>
      </c>
      <c r="D289" s="76" t="s">
        <v>454</v>
      </c>
      <c r="E289" s="29" t="s">
        <v>443</v>
      </c>
      <c r="F289" s="29" t="s">
        <v>62</v>
      </c>
      <c r="G289" s="30" t="s">
        <v>63</v>
      </c>
      <c r="H289" s="8"/>
      <c r="I289" s="30" t="s">
        <v>56</v>
      </c>
      <c r="J289" s="30" t="s">
        <v>77</v>
      </c>
      <c r="K289" s="30" t="s">
        <v>241</v>
      </c>
      <c r="L289" s="31" t="s">
        <v>32</v>
      </c>
      <c r="M289" s="30" t="s">
        <v>178</v>
      </c>
      <c r="N289" s="65">
        <v>45905.616423611114</v>
      </c>
      <c r="O289" s="135" t="s">
        <v>419</v>
      </c>
      <c r="P289" s="20"/>
    </row>
    <row r="290">
      <c r="B290" s="10">
        <v>225.0</v>
      </c>
      <c r="C290" s="119" t="s">
        <v>353</v>
      </c>
      <c r="D290" s="79" t="s">
        <v>454</v>
      </c>
      <c r="E290" s="42" t="s">
        <v>455</v>
      </c>
      <c r="F290" s="42" t="s">
        <v>62</v>
      </c>
      <c r="G290" s="43" t="s">
        <v>63</v>
      </c>
      <c r="H290" s="11"/>
      <c r="I290" s="43" t="s">
        <v>56</v>
      </c>
      <c r="J290" s="43" t="s">
        <v>77</v>
      </c>
      <c r="K290" s="43" t="s">
        <v>241</v>
      </c>
      <c r="L290" s="45" t="s">
        <v>32</v>
      </c>
      <c r="M290" s="43" t="s">
        <v>178</v>
      </c>
      <c r="N290" s="66">
        <v>45905.616377314815</v>
      </c>
      <c r="O290" s="135" t="s">
        <v>419</v>
      </c>
      <c r="P290" s="20"/>
    </row>
    <row r="291">
      <c r="B291" s="13">
        <v>226.0</v>
      </c>
      <c r="C291" s="119" t="s">
        <v>353</v>
      </c>
      <c r="D291" s="76" t="s">
        <v>454</v>
      </c>
      <c r="E291" s="29" t="s">
        <v>456</v>
      </c>
      <c r="F291" s="29" t="s">
        <v>62</v>
      </c>
      <c r="G291" s="30" t="s">
        <v>63</v>
      </c>
      <c r="H291" s="8"/>
      <c r="I291" s="30" t="s">
        <v>56</v>
      </c>
      <c r="J291" s="30" t="s">
        <v>77</v>
      </c>
      <c r="K291" s="30" t="s">
        <v>241</v>
      </c>
      <c r="L291" s="31" t="s">
        <v>32</v>
      </c>
      <c r="M291" s="30" t="s">
        <v>178</v>
      </c>
      <c r="N291" s="65">
        <v>45905.616273148145</v>
      </c>
      <c r="O291" s="135" t="s">
        <v>419</v>
      </c>
      <c r="P291" s="20"/>
    </row>
    <row r="292">
      <c r="B292" s="10">
        <v>227.0</v>
      </c>
      <c r="C292" s="119" t="s">
        <v>353</v>
      </c>
      <c r="D292" s="79" t="s">
        <v>454</v>
      </c>
      <c r="E292" s="42" t="s">
        <v>441</v>
      </c>
      <c r="F292" s="42" t="s">
        <v>62</v>
      </c>
      <c r="G292" s="43" t="s">
        <v>63</v>
      </c>
      <c r="H292" s="11"/>
      <c r="I292" s="43" t="s">
        <v>56</v>
      </c>
      <c r="J292" s="43" t="s">
        <v>77</v>
      </c>
      <c r="K292" s="43" t="s">
        <v>241</v>
      </c>
      <c r="L292" s="45" t="s">
        <v>32</v>
      </c>
      <c r="M292" s="43" t="s">
        <v>178</v>
      </c>
      <c r="N292" s="66">
        <v>45905.6193287037</v>
      </c>
      <c r="O292" s="135" t="s">
        <v>419</v>
      </c>
      <c r="P292" s="20"/>
    </row>
    <row r="293">
      <c r="B293" s="13">
        <v>228.0</v>
      </c>
      <c r="C293" s="119" t="s">
        <v>353</v>
      </c>
      <c r="D293" s="76" t="s">
        <v>457</v>
      </c>
      <c r="E293" s="29" t="s">
        <v>443</v>
      </c>
      <c r="F293" s="29" t="s">
        <v>62</v>
      </c>
      <c r="G293" s="30" t="s">
        <v>63</v>
      </c>
      <c r="H293" s="8"/>
      <c r="I293" s="30" t="s">
        <v>56</v>
      </c>
      <c r="J293" s="30" t="s">
        <v>77</v>
      </c>
      <c r="K293" s="30" t="s">
        <v>241</v>
      </c>
      <c r="L293" s="31" t="s">
        <v>32</v>
      </c>
      <c r="M293" s="30" t="s">
        <v>178</v>
      </c>
      <c r="N293" s="65">
        <v>45905.619166666664</v>
      </c>
      <c r="O293" s="135" t="s">
        <v>419</v>
      </c>
      <c r="P293" s="20"/>
    </row>
    <row r="294">
      <c r="B294" s="10">
        <v>229.0</v>
      </c>
      <c r="C294" s="119" t="s">
        <v>353</v>
      </c>
      <c r="D294" s="79" t="s">
        <v>457</v>
      </c>
      <c r="E294" s="42" t="s">
        <v>444</v>
      </c>
      <c r="F294" s="42" t="s">
        <v>62</v>
      </c>
      <c r="G294" s="43" t="s">
        <v>63</v>
      </c>
      <c r="H294" s="11"/>
      <c r="I294" s="43" t="s">
        <v>56</v>
      </c>
      <c r="J294" s="43" t="s">
        <v>77</v>
      </c>
      <c r="K294" s="43" t="s">
        <v>241</v>
      </c>
      <c r="L294" s="45" t="s">
        <v>32</v>
      </c>
      <c r="M294" s="43" t="s">
        <v>178</v>
      </c>
      <c r="N294" s="66">
        <v>45905.618680555555</v>
      </c>
      <c r="O294" s="135" t="s">
        <v>419</v>
      </c>
      <c r="P294" s="20"/>
    </row>
    <row r="295">
      <c r="B295" s="13">
        <v>230.0</v>
      </c>
      <c r="C295" s="119" t="s">
        <v>353</v>
      </c>
      <c r="D295" s="76" t="s">
        <v>457</v>
      </c>
      <c r="E295" s="29" t="s">
        <v>456</v>
      </c>
      <c r="F295" s="29" t="s">
        <v>62</v>
      </c>
      <c r="G295" s="30" t="s">
        <v>63</v>
      </c>
      <c r="H295" s="8"/>
      <c r="I295" s="30" t="s">
        <v>56</v>
      </c>
      <c r="J295" s="30" t="s">
        <v>77</v>
      </c>
      <c r="K295" s="30" t="s">
        <v>241</v>
      </c>
      <c r="L295" s="31" t="s">
        <v>32</v>
      </c>
      <c r="M295" s="30" t="s">
        <v>178</v>
      </c>
      <c r="N295" s="29" t="s">
        <v>458</v>
      </c>
      <c r="O295" s="135" t="s">
        <v>419</v>
      </c>
      <c r="P295" s="20"/>
    </row>
    <row r="296">
      <c r="B296" s="10">
        <v>231.0</v>
      </c>
      <c r="C296" s="136" t="s">
        <v>353</v>
      </c>
      <c r="D296" s="137" t="s">
        <v>459</v>
      </c>
      <c r="E296" s="126" t="s">
        <v>443</v>
      </c>
      <c r="F296" s="126" t="s">
        <v>62</v>
      </c>
      <c r="G296" s="43" t="s">
        <v>63</v>
      </c>
      <c r="H296" s="11"/>
      <c r="I296" s="43" t="s">
        <v>56</v>
      </c>
      <c r="J296" s="43" t="s">
        <v>77</v>
      </c>
      <c r="K296" s="43" t="s">
        <v>241</v>
      </c>
      <c r="L296" s="45" t="s">
        <v>32</v>
      </c>
      <c r="M296" s="43" t="s">
        <v>180</v>
      </c>
      <c r="N296" s="42" t="s">
        <v>460</v>
      </c>
      <c r="O296" s="135" t="s">
        <v>419</v>
      </c>
      <c r="P296" s="20"/>
    </row>
    <row r="297">
      <c r="B297" s="13">
        <v>232.0</v>
      </c>
      <c r="C297" s="119" t="s">
        <v>353</v>
      </c>
      <c r="D297" s="138" t="s">
        <v>459</v>
      </c>
      <c r="E297" s="119" t="s">
        <v>397</v>
      </c>
      <c r="F297" s="119" t="s">
        <v>62</v>
      </c>
      <c r="G297" s="30" t="s">
        <v>63</v>
      </c>
      <c r="H297" s="8"/>
      <c r="I297" s="30" t="s">
        <v>56</v>
      </c>
      <c r="J297" s="30" t="s">
        <v>77</v>
      </c>
      <c r="K297" s="30" t="s">
        <v>241</v>
      </c>
      <c r="L297" s="31" t="s">
        <v>32</v>
      </c>
      <c r="M297" s="30" t="s">
        <v>180</v>
      </c>
      <c r="N297" s="65">
        <v>45905.62461805555</v>
      </c>
      <c r="O297" s="135" t="s">
        <v>419</v>
      </c>
      <c r="P297" s="20"/>
    </row>
    <row r="298">
      <c r="B298" s="10">
        <v>233.0</v>
      </c>
      <c r="C298" s="136" t="s">
        <v>353</v>
      </c>
      <c r="D298" s="137" t="s">
        <v>461</v>
      </c>
      <c r="E298" s="126" t="s">
        <v>443</v>
      </c>
      <c r="F298" s="126" t="s">
        <v>62</v>
      </c>
      <c r="G298" s="43" t="s">
        <v>63</v>
      </c>
      <c r="H298" s="11"/>
      <c r="I298" s="43" t="s">
        <v>56</v>
      </c>
      <c r="J298" s="43" t="s">
        <v>77</v>
      </c>
      <c r="K298" s="43" t="s">
        <v>241</v>
      </c>
      <c r="L298" s="45" t="s">
        <v>32</v>
      </c>
      <c r="M298" s="43" t="s">
        <v>180</v>
      </c>
      <c r="N298" s="66">
        <v>45905.62446759259</v>
      </c>
      <c r="O298" s="135" t="s">
        <v>419</v>
      </c>
      <c r="P298" s="20"/>
    </row>
    <row r="299">
      <c r="B299" s="13">
        <v>234.0</v>
      </c>
      <c r="C299" s="119" t="s">
        <v>353</v>
      </c>
      <c r="D299" s="76" t="s">
        <v>462</v>
      </c>
      <c r="E299" s="29"/>
      <c r="F299" s="29" t="s">
        <v>463</v>
      </c>
      <c r="G299" s="30" t="s">
        <v>113</v>
      </c>
      <c r="H299" s="8"/>
      <c r="I299" s="30" t="s">
        <v>52</v>
      </c>
      <c r="J299" s="30" t="s">
        <v>77</v>
      </c>
      <c r="K299" s="30" t="s">
        <v>241</v>
      </c>
      <c r="L299" s="31" t="s">
        <v>32</v>
      </c>
      <c r="M299" s="30" t="s">
        <v>180</v>
      </c>
      <c r="N299" s="29" t="s">
        <v>464</v>
      </c>
      <c r="O299" s="135" t="s">
        <v>419</v>
      </c>
      <c r="P299" s="20"/>
    </row>
    <row r="300">
      <c r="B300" s="10">
        <v>235.0</v>
      </c>
      <c r="C300" s="119" t="s">
        <v>353</v>
      </c>
      <c r="D300" s="138" t="s">
        <v>461</v>
      </c>
      <c r="E300" s="119" t="s">
        <v>444</v>
      </c>
      <c r="F300" s="119" t="s">
        <v>62</v>
      </c>
      <c r="G300" s="43" t="s">
        <v>63</v>
      </c>
      <c r="H300" s="11"/>
      <c r="I300" s="43" t="s">
        <v>56</v>
      </c>
      <c r="J300" s="43" t="s">
        <v>77</v>
      </c>
      <c r="K300" s="43" t="s">
        <v>241</v>
      </c>
      <c r="L300" s="45" t="s">
        <v>32</v>
      </c>
      <c r="M300" s="43" t="s">
        <v>180</v>
      </c>
      <c r="N300" s="42" t="s">
        <v>465</v>
      </c>
      <c r="O300" s="135" t="s">
        <v>419</v>
      </c>
      <c r="P300" s="20"/>
    </row>
    <row r="301">
      <c r="B301" s="13">
        <v>236.0</v>
      </c>
      <c r="C301" s="136" t="s">
        <v>353</v>
      </c>
      <c r="D301" s="137" t="s">
        <v>461</v>
      </c>
      <c r="E301" s="126" t="s">
        <v>456</v>
      </c>
      <c r="F301" s="126" t="s">
        <v>62</v>
      </c>
      <c r="G301" s="30" t="s">
        <v>63</v>
      </c>
      <c r="H301" s="8"/>
      <c r="I301" s="30" t="s">
        <v>56</v>
      </c>
      <c r="J301" s="30" t="s">
        <v>77</v>
      </c>
      <c r="K301" s="30" t="s">
        <v>241</v>
      </c>
      <c r="L301" s="31" t="s">
        <v>32</v>
      </c>
      <c r="M301" s="30" t="s">
        <v>180</v>
      </c>
      <c r="N301" s="29" t="s">
        <v>466</v>
      </c>
      <c r="O301" s="135" t="s">
        <v>419</v>
      </c>
      <c r="P301" s="20"/>
    </row>
    <row r="302">
      <c r="B302" s="10">
        <v>237.0</v>
      </c>
      <c r="C302" s="119" t="s">
        <v>353</v>
      </c>
      <c r="D302" s="138" t="s">
        <v>461</v>
      </c>
      <c r="E302" s="119" t="s">
        <v>441</v>
      </c>
      <c r="F302" s="119" t="s">
        <v>62</v>
      </c>
      <c r="G302" s="43" t="s">
        <v>63</v>
      </c>
      <c r="H302" s="11"/>
      <c r="I302" s="43" t="s">
        <v>56</v>
      </c>
      <c r="J302" s="43" t="s">
        <v>77</v>
      </c>
      <c r="K302" s="43" t="s">
        <v>241</v>
      </c>
      <c r="L302" s="45" t="s">
        <v>32</v>
      </c>
      <c r="M302" s="43" t="s">
        <v>180</v>
      </c>
      <c r="N302" s="42" t="s">
        <v>467</v>
      </c>
      <c r="O302" s="135" t="s">
        <v>419</v>
      </c>
      <c r="P302" s="20"/>
    </row>
    <row r="303">
      <c r="B303" s="13">
        <v>238.0</v>
      </c>
      <c r="C303" s="119" t="s">
        <v>353</v>
      </c>
      <c r="D303" s="76" t="s">
        <v>468</v>
      </c>
      <c r="E303" s="29" t="s">
        <v>469</v>
      </c>
      <c r="F303" s="26" t="s">
        <v>282</v>
      </c>
      <c r="G303" s="30" t="s">
        <v>113</v>
      </c>
      <c r="H303" s="8"/>
      <c r="I303" s="30" t="s">
        <v>56</v>
      </c>
      <c r="J303" s="30" t="s">
        <v>77</v>
      </c>
      <c r="K303" s="30" t="s">
        <v>241</v>
      </c>
      <c r="L303" s="31" t="s">
        <v>32</v>
      </c>
      <c r="M303" s="30" t="s">
        <v>180</v>
      </c>
      <c r="N303" s="29" t="s">
        <v>470</v>
      </c>
      <c r="O303" s="135" t="s">
        <v>419</v>
      </c>
      <c r="P303" s="20"/>
    </row>
    <row r="304">
      <c r="B304" s="10">
        <v>239.0</v>
      </c>
      <c r="C304" s="119" t="s">
        <v>353</v>
      </c>
      <c r="D304" s="79" t="s">
        <v>471</v>
      </c>
      <c r="E304" s="42" t="s">
        <v>472</v>
      </c>
      <c r="F304" s="119" t="s">
        <v>62</v>
      </c>
      <c r="G304" s="43" t="s">
        <v>63</v>
      </c>
      <c r="H304" s="11"/>
      <c r="I304" s="43" t="s">
        <v>56</v>
      </c>
      <c r="J304" s="43" t="s">
        <v>77</v>
      </c>
      <c r="K304" s="43" t="s">
        <v>241</v>
      </c>
      <c r="L304" s="45" t="s">
        <v>32</v>
      </c>
      <c r="M304" s="43" t="s">
        <v>180</v>
      </c>
      <c r="N304" s="42" t="s">
        <v>473</v>
      </c>
      <c r="O304" s="135" t="s">
        <v>419</v>
      </c>
      <c r="P304" s="20"/>
    </row>
    <row r="305">
      <c r="B305" s="13">
        <v>240.0</v>
      </c>
      <c r="C305" s="119" t="s">
        <v>353</v>
      </c>
      <c r="D305" s="76" t="s">
        <v>471</v>
      </c>
      <c r="E305" s="29" t="s">
        <v>474</v>
      </c>
      <c r="F305" s="126" t="s">
        <v>62</v>
      </c>
      <c r="G305" s="30" t="s">
        <v>63</v>
      </c>
      <c r="H305" s="8"/>
      <c r="I305" s="30" t="s">
        <v>56</v>
      </c>
      <c r="J305" s="30" t="s">
        <v>77</v>
      </c>
      <c r="K305" s="30" t="s">
        <v>241</v>
      </c>
      <c r="L305" s="31" t="s">
        <v>32</v>
      </c>
      <c r="M305" s="30" t="s">
        <v>180</v>
      </c>
      <c r="N305" s="29" t="s">
        <v>475</v>
      </c>
      <c r="O305" s="135" t="s">
        <v>419</v>
      </c>
      <c r="P305" s="20"/>
    </row>
    <row r="306">
      <c r="B306" s="10">
        <v>241.0</v>
      </c>
      <c r="C306" s="119" t="s">
        <v>353</v>
      </c>
      <c r="D306" s="79" t="s">
        <v>471</v>
      </c>
      <c r="E306" s="42" t="s">
        <v>407</v>
      </c>
      <c r="F306" s="119" t="s">
        <v>62</v>
      </c>
      <c r="G306" s="43" t="s">
        <v>63</v>
      </c>
      <c r="H306" s="11"/>
      <c r="I306" s="43" t="s">
        <v>56</v>
      </c>
      <c r="J306" s="43" t="s">
        <v>77</v>
      </c>
      <c r="K306" s="43" t="s">
        <v>241</v>
      </c>
      <c r="L306" s="45" t="s">
        <v>32</v>
      </c>
      <c r="M306" s="43" t="s">
        <v>180</v>
      </c>
      <c r="N306" s="42" t="s">
        <v>476</v>
      </c>
      <c r="O306" s="135" t="s">
        <v>419</v>
      </c>
      <c r="P306" s="20"/>
    </row>
    <row r="307">
      <c r="B307" s="13">
        <v>242.0</v>
      </c>
      <c r="C307" s="119" t="s">
        <v>353</v>
      </c>
      <c r="D307" s="76" t="s">
        <v>471</v>
      </c>
      <c r="E307" s="29" t="s">
        <v>408</v>
      </c>
      <c r="F307" s="119" t="s">
        <v>62</v>
      </c>
      <c r="G307" s="30" t="s">
        <v>63</v>
      </c>
      <c r="H307" s="8"/>
      <c r="I307" s="30" t="s">
        <v>56</v>
      </c>
      <c r="J307" s="30" t="s">
        <v>77</v>
      </c>
      <c r="K307" s="30" t="s">
        <v>241</v>
      </c>
      <c r="L307" s="31" t="s">
        <v>32</v>
      </c>
      <c r="M307" s="30" t="s">
        <v>180</v>
      </c>
      <c r="N307" s="29" t="s">
        <v>477</v>
      </c>
      <c r="O307" s="135" t="s">
        <v>419</v>
      </c>
      <c r="P307" s="20"/>
    </row>
    <row r="308">
      <c r="B308" s="10">
        <v>243.0</v>
      </c>
      <c r="C308" s="119" t="s">
        <v>353</v>
      </c>
      <c r="D308" s="79" t="s">
        <v>471</v>
      </c>
      <c r="E308" s="42" t="s">
        <v>409</v>
      </c>
      <c r="F308" s="126" t="s">
        <v>62</v>
      </c>
      <c r="G308" s="43" t="s">
        <v>63</v>
      </c>
      <c r="H308" s="11"/>
      <c r="I308" s="43" t="s">
        <v>56</v>
      </c>
      <c r="J308" s="43" t="s">
        <v>77</v>
      </c>
      <c r="K308" s="43" t="s">
        <v>241</v>
      </c>
      <c r="L308" s="45" t="s">
        <v>32</v>
      </c>
      <c r="M308" s="43" t="s">
        <v>180</v>
      </c>
      <c r="N308" s="42" t="s">
        <v>478</v>
      </c>
      <c r="O308" s="135" t="s">
        <v>419</v>
      </c>
      <c r="P308" s="20"/>
    </row>
    <row r="309">
      <c r="B309" s="13">
        <v>244.0</v>
      </c>
      <c r="C309" s="119" t="s">
        <v>353</v>
      </c>
      <c r="D309" s="76" t="s">
        <v>479</v>
      </c>
      <c r="E309" s="29" t="s">
        <v>397</v>
      </c>
      <c r="F309" s="126" t="s">
        <v>62</v>
      </c>
      <c r="G309" s="30" t="s">
        <v>63</v>
      </c>
      <c r="H309" s="8"/>
      <c r="I309" s="30" t="s">
        <v>56</v>
      </c>
      <c r="J309" s="30" t="s">
        <v>77</v>
      </c>
      <c r="K309" s="30" t="s">
        <v>241</v>
      </c>
      <c r="L309" s="31" t="s">
        <v>32</v>
      </c>
      <c r="M309" s="30" t="s">
        <v>180</v>
      </c>
      <c r="N309" s="29" t="s">
        <v>480</v>
      </c>
      <c r="O309" s="135" t="s">
        <v>419</v>
      </c>
      <c r="P309" s="20"/>
    </row>
    <row r="310">
      <c r="B310" s="10">
        <v>245.0</v>
      </c>
      <c r="C310" s="119" t="s">
        <v>353</v>
      </c>
      <c r="D310" s="79" t="s">
        <v>481</v>
      </c>
      <c r="E310" s="42" t="s">
        <v>482</v>
      </c>
      <c r="F310" s="126" t="s">
        <v>62</v>
      </c>
      <c r="G310" s="43" t="s">
        <v>63</v>
      </c>
      <c r="H310" s="11"/>
      <c r="I310" s="43" t="s">
        <v>56</v>
      </c>
      <c r="J310" s="43" t="s">
        <v>77</v>
      </c>
      <c r="K310" s="43" t="s">
        <v>241</v>
      </c>
      <c r="L310" s="45" t="s">
        <v>32</v>
      </c>
      <c r="M310" s="43" t="s">
        <v>180</v>
      </c>
      <c r="N310" s="42" t="s">
        <v>483</v>
      </c>
      <c r="O310" s="135" t="s">
        <v>419</v>
      </c>
      <c r="P310" s="20"/>
    </row>
    <row r="311">
      <c r="B311" s="13">
        <v>246.0</v>
      </c>
      <c r="C311" s="119" t="s">
        <v>353</v>
      </c>
      <c r="D311" s="76" t="s">
        <v>484</v>
      </c>
      <c r="E311" s="29" t="s">
        <v>397</v>
      </c>
      <c r="F311" s="126" t="s">
        <v>62</v>
      </c>
      <c r="G311" s="30" t="s">
        <v>63</v>
      </c>
      <c r="H311" s="8"/>
      <c r="I311" s="30" t="s">
        <v>56</v>
      </c>
      <c r="J311" s="30" t="s">
        <v>77</v>
      </c>
      <c r="K311" s="30" t="s">
        <v>241</v>
      </c>
      <c r="L311" s="31" t="s">
        <v>32</v>
      </c>
      <c r="M311" s="30" t="s">
        <v>180</v>
      </c>
      <c r="N311" s="29" t="s">
        <v>485</v>
      </c>
      <c r="O311" s="135" t="s">
        <v>419</v>
      </c>
      <c r="P311" s="20"/>
    </row>
    <row r="312">
      <c r="B312" s="10">
        <v>247.0</v>
      </c>
      <c r="C312" s="119" t="s">
        <v>353</v>
      </c>
      <c r="D312" s="79" t="s">
        <v>479</v>
      </c>
      <c r="E312" s="42" t="s">
        <v>401</v>
      </c>
      <c r="F312" s="126" t="s">
        <v>62</v>
      </c>
      <c r="G312" s="43" t="s">
        <v>63</v>
      </c>
      <c r="H312" s="11"/>
      <c r="I312" s="43" t="s">
        <v>56</v>
      </c>
      <c r="J312" s="43" t="s">
        <v>77</v>
      </c>
      <c r="K312" s="43" t="s">
        <v>241</v>
      </c>
      <c r="L312" s="45" t="s">
        <v>32</v>
      </c>
      <c r="M312" s="43" t="s">
        <v>180</v>
      </c>
      <c r="N312" s="42" t="s">
        <v>486</v>
      </c>
      <c r="O312" s="135" t="s">
        <v>419</v>
      </c>
      <c r="P312" s="20"/>
    </row>
    <row r="313">
      <c r="B313" s="13">
        <v>248.0</v>
      </c>
      <c r="C313" s="119" t="s">
        <v>353</v>
      </c>
      <c r="D313" s="76" t="s">
        <v>479</v>
      </c>
      <c r="E313" s="29" t="s">
        <v>482</v>
      </c>
      <c r="F313" s="126" t="s">
        <v>62</v>
      </c>
      <c r="G313" s="30" t="s">
        <v>63</v>
      </c>
      <c r="H313" s="8"/>
      <c r="I313" s="30" t="s">
        <v>56</v>
      </c>
      <c r="J313" s="30" t="s">
        <v>77</v>
      </c>
      <c r="K313" s="30" t="s">
        <v>241</v>
      </c>
      <c r="L313" s="31" t="s">
        <v>32</v>
      </c>
      <c r="M313" s="30" t="s">
        <v>180</v>
      </c>
      <c r="N313" s="29" t="s">
        <v>487</v>
      </c>
      <c r="O313" s="135" t="s">
        <v>419</v>
      </c>
      <c r="P313" s="20"/>
    </row>
    <row r="314">
      <c r="B314" s="10">
        <v>249.0</v>
      </c>
      <c r="C314" s="119" t="s">
        <v>353</v>
      </c>
      <c r="D314" s="79" t="s">
        <v>488</v>
      </c>
      <c r="E314" s="42" t="s">
        <v>489</v>
      </c>
      <c r="F314" s="126" t="s">
        <v>62</v>
      </c>
      <c r="G314" s="43" t="s">
        <v>63</v>
      </c>
      <c r="H314" s="11"/>
      <c r="I314" s="43" t="s">
        <v>56</v>
      </c>
      <c r="J314" s="43" t="s">
        <v>77</v>
      </c>
      <c r="K314" s="43" t="s">
        <v>241</v>
      </c>
      <c r="L314" s="45" t="s">
        <v>32</v>
      </c>
      <c r="M314" s="43" t="s">
        <v>180</v>
      </c>
      <c r="N314" s="42" t="s">
        <v>490</v>
      </c>
      <c r="O314" s="135" t="s">
        <v>419</v>
      </c>
      <c r="P314" s="20"/>
    </row>
    <row r="315">
      <c r="B315" s="13">
        <v>250.0</v>
      </c>
      <c r="C315" s="119" t="s">
        <v>353</v>
      </c>
      <c r="D315" s="76" t="s">
        <v>488</v>
      </c>
      <c r="E315" s="29" t="s">
        <v>491</v>
      </c>
      <c r="F315" s="126" t="s">
        <v>62</v>
      </c>
      <c r="G315" s="30" t="s">
        <v>63</v>
      </c>
      <c r="H315" s="8"/>
      <c r="I315" s="30" t="s">
        <v>56</v>
      </c>
      <c r="J315" s="30" t="s">
        <v>77</v>
      </c>
      <c r="K315" s="30" t="s">
        <v>241</v>
      </c>
      <c r="L315" s="31" t="s">
        <v>32</v>
      </c>
      <c r="M315" s="30" t="s">
        <v>180</v>
      </c>
      <c r="N315" s="29" t="s">
        <v>492</v>
      </c>
      <c r="O315" s="135" t="s">
        <v>419</v>
      </c>
      <c r="P315" s="20"/>
    </row>
    <row r="316">
      <c r="B316" s="10">
        <v>251.0</v>
      </c>
      <c r="C316" s="119" t="s">
        <v>353</v>
      </c>
      <c r="D316" s="79" t="s">
        <v>488</v>
      </c>
      <c r="E316" s="42" t="s">
        <v>493</v>
      </c>
      <c r="F316" s="126" t="s">
        <v>62</v>
      </c>
      <c r="G316" s="43" t="s">
        <v>63</v>
      </c>
      <c r="H316" s="11"/>
      <c r="I316" s="43" t="s">
        <v>56</v>
      </c>
      <c r="J316" s="43" t="s">
        <v>77</v>
      </c>
      <c r="K316" s="43" t="s">
        <v>241</v>
      </c>
      <c r="L316" s="45" t="s">
        <v>32</v>
      </c>
      <c r="M316" s="43" t="s">
        <v>180</v>
      </c>
      <c r="N316" s="42" t="s">
        <v>494</v>
      </c>
      <c r="O316" s="135" t="s">
        <v>419</v>
      </c>
      <c r="P316" s="20"/>
    </row>
    <row r="317">
      <c r="B317" s="13">
        <v>252.0</v>
      </c>
      <c r="C317" s="119" t="s">
        <v>353</v>
      </c>
      <c r="D317" s="76" t="s">
        <v>488</v>
      </c>
      <c r="E317" s="29" t="s">
        <v>495</v>
      </c>
      <c r="F317" s="126" t="s">
        <v>62</v>
      </c>
      <c r="G317" s="30" t="s">
        <v>63</v>
      </c>
      <c r="H317" s="8"/>
      <c r="I317" s="30" t="s">
        <v>56</v>
      </c>
      <c r="J317" s="30" t="s">
        <v>77</v>
      </c>
      <c r="K317" s="30" t="s">
        <v>241</v>
      </c>
      <c r="L317" s="31" t="s">
        <v>32</v>
      </c>
      <c r="M317" s="30" t="s">
        <v>180</v>
      </c>
      <c r="N317" s="29" t="s">
        <v>496</v>
      </c>
      <c r="O317" s="135" t="s">
        <v>419</v>
      </c>
      <c r="P317" s="20"/>
    </row>
    <row r="318">
      <c r="B318" s="10">
        <v>253.0</v>
      </c>
      <c r="C318" s="119" t="s">
        <v>353</v>
      </c>
      <c r="D318" s="79" t="s">
        <v>488</v>
      </c>
      <c r="E318" s="42" t="s">
        <v>497</v>
      </c>
      <c r="F318" s="126" t="s">
        <v>62</v>
      </c>
      <c r="G318" s="43" t="s">
        <v>63</v>
      </c>
      <c r="H318" s="11"/>
      <c r="I318" s="43" t="s">
        <v>56</v>
      </c>
      <c r="J318" s="43" t="s">
        <v>77</v>
      </c>
      <c r="K318" s="43" t="s">
        <v>241</v>
      </c>
      <c r="L318" s="45" t="s">
        <v>32</v>
      </c>
      <c r="M318" s="43" t="s">
        <v>180</v>
      </c>
      <c r="N318" s="42" t="s">
        <v>498</v>
      </c>
      <c r="O318" s="135" t="s">
        <v>419</v>
      </c>
      <c r="P318" s="20"/>
    </row>
    <row r="319">
      <c r="B319" s="13">
        <v>254.0</v>
      </c>
      <c r="C319" s="119" t="s">
        <v>353</v>
      </c>
      <c r="D319" s="76" t="s">
        <v>499</v>
      </c>
      <c r="E319" s="29" t="s">
        <v>500</v>
      </c>
      <c r="F319" s="126" t="s">
        <v>62</v>
      </c>
      <c r="G319" s="30" t="s">
        <v>63</v>
      </c>
      <c r="H319" s="8"/>
      <c r="I319" s="30" t="s">
        <v>56</v>
      </c>
      <c r="J319" s="30" t="s">
        <v>77</v>
      </c>
      <c r="K319" s="30" t="s">
        <v>241</v>
      </c>
      <c r="L319" s="31" t="s">
        <v>32</v>
      </c>
      <c r="M319" s="30" t="s">
        <v>180</v>
      </c>
      <c r="N319" s="29" t="s">
        <v>501</v>
      </c>
      <c r="O319" s="135" t="s">
        <v>419</v>
      </c>
      <c r="P319" s="20"/>
    </row>
    <row r="320">
      <c r="B320" s="10">
        <v>255.0</v>
      </c>
      <c r="C320" s="119" t="s">
        <v>353</v>
      </c>
      <c r="D320" s="79" t="s">
        <v>499</v>
      </c>
      <c r="E320" s="42" t="s">
        <v>502</v>
      </c>
      <c r="F320" s="126" t="s">
        <v>62</v>
      </c>
      <c r="G320" s="43" t="s">
        <v>63</v>
      </c>
      <c r="H320" s="11"/>
      <c r="I320" s="43" t="s">
        <v>56</v>
      </c>
      <c r="J320" s="43" t="s">
        <v>77</v>
      </c>
      <c r="K320" s="43" t="s">
        <v>241</v>
      </c>
      <c r="L320" s="45" t="s">
        <v>32</v>
      </c>
      <c r="M320" s="43" t="s">
        <v>180</v>
      </c>
      <c r="N320" s="42" t="s">
        <v>503</v>
      </c>
      <c r="O320" s="135" t="s">
        <v>419</v>
      </c>
      <c r="P320" s="20"/>
    </row>
    <row r="321">
      <c r="B321" s="13">
        <v>256.0</v>
      </c>
      <c r="C321" s="119" t="s">
        <v>353</v>
      </c>
      <c r="D321" s="76" t="s">
        <v>499</v>
      </c>
      <c r="E321" s="29" t="s">
        <v>504</v>
      </c>
      <c r="F321" s="126" t="s">
        <v>62</v>
      </c>
      <c r="G321" s="30" t="s">
        <v>63</v>
      </c>
      <c r="H321" s="8"/>
      <c r="I321" s="30" t="s">
        <v>56</v>
      </c>
      <c r="J321" s="30" t="s">
        <v>77</v>
      </c>
      <c r="K321" s="30" t="s">
        <v>241</v>
      </c>
      <c r="L321" s="31" t="s">
        <v>32</v>
      </c>
      <c r="M321" s="30" t="s">
        <v>180</v>
      </c>
      <c r="N321" s="29" t="s">
        <v>505</v>
      </c>
      <c r="O321" s="135" t="s">
        <v>419</v>
      </c>
      <c r="P321" s="20"/>
    </row>
    <row r="322">
      <c r="B322" s="10">
        <v>257.0</v>
      </c>
      <c r="C322" s="119" t="s">
        <v>353</v>
      </c>
      <c r="D322" s="79" t="s">
        <v>499</v>
      </c>
      <c r="E322" s="42" t="s">
        <v>506</v>
      </c>
      <c r="F322" s="38" t="s">
        <v>282</v>
      </c>
      <c r="G322" s="43" t="s">
        <v>113</v>
      </c>
      <c r="H322" s="11"/>
      <c r="I322" s="43" t="s">
        <v>52</v>
      </c>
      <c r="J322" s="43" t="s">
        <v>77</v>
      </c>
      <c r="K322" s="43" t="s">
        <v>241</v>
      </c>
      <c r="L322" s="45" t="s">
        <v>32</v>
      </c>
      <c r="M322" s="43" t="s">
        <v>180</v>
      </c>
      <c r="N322" s="42" t="s">
        <v>507</v>
      </c>
      <c r="O322" s="135" t="s">
        <v>419</v>
      </c>
      <c r="P322" s="20"/>
    </row>
    <row r="323">
      <c r="B323" s="13">
        <v>258.0</v>
      </c>
      <c r="C323" s="119" t="s">
        <v>353</v>
      </c>
      <c r="D323" s="139" t="s">
        <v>508</v>
      </c>
      <c r="E323" s="136" t="s">
        <v>456</v>
      </c>
      <c r="F323" s="126" t="s">
        <v>62</v>
      </c>
      <c r="G323" s="30" t="s">
        <v>63</v>
      </c>
      <c r="H323" s="8"/>
      <c r="I323" s="30" t="s">
        <v>56</v>
      </c>
      <c r="J323" s="30" t="s">
        <v>77</v>
      </c>
      <c r="K323" s="30" t="s">
        <v>241</v>
      </c>
      <c r="L323" s="31" t="s">
        <v>32</v>
      </c>
      <c r="M323" s="30" t="s">
        <v>180</v>
      </c>
      <c r="N323" s="29" t="s">
        <v>509</v>
      </c>
      <c r="O323" s="135" t="s">
        <v>419</v>
      </c>
      <c r="P323" s="20"/>
    </row>
    <row r="324">
      <c r="B324" s="10">
        <v>259.0</v>
      </c>
      <c r="C324" s="119" t="s">
        <v>353</v>
      </c>
      <c r="D324" s="140" t="s">
        <v>508</v>
      </c>
      <c r="E324" s="141" t="s">
        <v>444</v>
      </c>
      <c r="F324" s="119" t="s">
        <v>62</v>
      </c>
      <c r="G324" s="43" t="s">
        <v>63</v>
      </c>
      <c r="H324" s="11"/>
      <c r="I324" s="43" t="s">
        <v>56</v>
      </c>
      <c r="J324" s="43" t="s">
        <v>77</v>
      </c>
      <c r="K324" s="43" t="s">
        <v>241</v>
      </c>
      <c r="L324" s="45" t="s">
        <v>32</v>
      </c>
      <c r="M324" s="43" t="s">
        <v>180</v>
      </c>
      <c r="N324" s="42" t="s">
        <v>510</v>
      </c>
      <c r="O324" s="135" t="s">
        <v>419</v>
      </c>
      <c r="P324" s="20"/>
    </row>
    <row r="325">
      <c r="B325" s="13">
        <v>260.0</v>
      </c>
      <c r="C325" s="119" t="s">
        <v>353</v>
      </c>
      <c r="D325" s="139" t="s">
        <v>508</v>
      </c>
      <c r="E325" s="136" t="s">
        <v>443</v>
      </c>
      <c r="F325" s="126" t="s">
        <v>62</v>
      </c>
      <c r="G325" s="30" t="s">
        <v>63</v>
      </c>
      <c r="H325" s="8"/>
      <c r="I325" s="30" t="s">
        <v>56</v>
      </c>
      <c r="J325" s="30" t="s">
        <v>77</v>
      </c>
      <c r="K325" s="30" t="s">
        <v>241</v>
      </c>
      <c r="L325" s="31" t="s">
        <v>32</v>
      </c>
      <c r="M325" s="30" t="s">
        <v>180</v>
      </c>
      <c r="N325" s="29" t="s">
        <v>511</v>
      </c>
      <c r="O325" s="135" t="s">
        <v>419</v>
      </c>
      <c r="P325" s="20"/>
    </row>
    <row r="326">
      <c r="B326" s="10">
        <v>261.0</v>
      </c>
      <c r="C326" s="119" t="s">
        <v>353</v>
      </c>
      <c r="D326" s="140" t="s">
        <v>512</v>
      </c>
      <c r="E326" s="141" t="s">
        <v>443</v>
      </c>
      <c r="F326" s="119" t="s">
        <v>62</v>
      </c>
      <c r="G326" s="43" t="s">
        <v>63</v>
      </c>
      <c r="H326" s="11"/>
      <c r="I326" s="43" t="s">
        <v>56</v>
      </c>
      <c r="J326" s="43" t="s">
        <v>77</v>
      </c>
      <c r="K326" s="43" t="s">
        <v>241</v>
      </c>
      <c r="L326" s="45" t="s">
        <v>32</v>
      </c>
      <c r="M326" s="43" t="s">
        <v>180</v>
      </c>
      <c r="N326" s="42" t="s">
        <v>513</v>
      </c>
      <c r="O326" s="135" t="s">
        <v>419</v>
      </c>
      <c r="P326" s="20"/>
    </row>
    <row r="327">
      <c r="B327" s="13">
        <v>262.0</v>
      </c>
      <c r="C327" s="119" t="s">
        <v>353</v>
      </c>
      <c r="D327" s="139" t="s">
        <v>512</v>
      </c>
      <c r="E327" s="136" t="s">
        <v>514</v>
      </c>
      <c r="F327" s="126" t="s">
        <v>62</v>
      </c>
      <c r="G327" s="30" t="s">
        <v>63</v>
      </c>
      <c r="H327" s="8"/>
      <c r="I327" s="30" t="s">
        <v>56</v>
      </c>
      <c r="J327" s="30" t="s">
        <v>77</v>
      </c>
      <c r="K327" s="30" t="s">
        <v>241</v>
      </c>
      <c r="L327" s="31" t="s">
        <v>32</v>
      </c>
      <c r="M327" s="30" t="s">
        <v>180</v>
      </c>
      <c r="N327" s="29" t="s">
        <v>515</v>
      </c>
      <c r="O327" s="135" t="s">
        <v>419</v>
      </c>
      <c r="P327" s="20"/>
    </row>
    <row r="328">
      <c r="B328" s="10">
        <v>263.0</v>
      </c>
      <c r="C328" s="119" t="s">
        <v>353</v>
      </c>
      <c r="D328" s="138" t="s">
        <v>516</v>
      </c>
      <c r="E328" s="141" t="s">
        <v>443</v>
      </c>
      <c r="F328" s="119" t="s">
        <v>62</v>
      </c>
      <c r="G328" s="43" t="s">
        <v>63</v>
      </c>
      <c r="H328" s="11"/>
      <c r="I328" s="43" t="s">
        <v>56</v>
      </c>
      <c r="J328" s="43" t="s">
        <v>77</v>
      </c>
      <c r="K328" s="43" t="s">
        <v>241</v>
      </c>
      <c r="L328" s="45" t="s">
        <v>32</v>
      </c>
      <c r="M328" s="43" t="s">
        <v>180</v>
      </c>
      <c r="N328" s="42" t="s">
        <v>517</v>
      </c>
      <c r="O328" s="135" t="s">
        <v>419</v>
      </c>
      <c r="P328" s="20"/>
    </row>
    <row r="329">
      <c r="B329" s="13">
        <v>264.0</v>
      </c>
      <c r="C329" s="119" t="s">
        <v>353</v>
      </c>
      <c r="D329" s="137" t="s">
        <v>516</v>
      </c>
      <c r="E329" s="136" t="s">
        <v>514</v>
      </c>
      <c r="F329" s="126" t="s">
        <v>62</v>
      </c>
      <c r="G329" s="30" t="s">
        <v>63</v>
      </c>
      <c r="H329" s="8"/>
      <c r="I329" s="30" t="s">
        <v>56</v>
      </c>
      <c r="J329" s="30" t="s">
        <v>77</v>
      </c>
      <c r="K329" s="30" t="s">
        <v>241</v>
      </c>
      <c r="L329" s="31" t="s">
        <v>32</v>
      </c>
      <c r="M329" s="30" t="s">
        <v>180</v>
      </c>
      <c r="N329" s="29" t="s">
        <v>518</v>
      </c>
      <c r="O329" s="135" t="s">
        <v>419</v>
      </c>
      <c r="P329" s="20"/>
    </row>
    <row r="330">
      <c r="B330" s="10">
        <v>265.0</v>
      </c>
      <c r="C330" s="119" t="s">
        <v>353</v>
      </c>
      <c r="D330" s="138" t="s">
        <v>471</v>
      </c>
      <c r="E330" s="119" t="s">
        <v>472</v>
      </c>
      <c r="F330" s="119" t="s">
        <v>62</v>
      </c>
      <c r="G330" s="43" t="s">
        <v>63</v>
      </c>
      <c r="H330" s="11"/>
      <c r="I330" s="43" t="s">
        <v>56</v>
      </c>
      <c r="J330" s="43" t="s">
        <v>77</v>
      </c>
      <c r="K330" s="43" t="s">
        <v>241</v>
      </c>
      <c r="L330" s="45" t="s">
        <v>32</v>
      </c>
      <c r="M330" s="43" t="s">
        <v>180</v>
      </c>
      <c r="N330" s="42" t="s">
        <v>519</v>
      </c>
      <c r="O330" s="135" t="s">
        <v>419</v>
      </c>
      <c r="P330" s="20"/>
    </row>
    <row r="331">
      <c r="B331" s="13">
        <v>266.0</v>
      </c>
      <c r="C331" s="119" t="s">
        <v>353</v>
      </c>
      <c r="D331" s="137" t="s">
        <v>471</v>
      </c>
      <c r="E331" s="126" t="s">
        <v>474</v>
      </c>
      <c r="F331" s="126" t="s">
        <v>62</v>
      </c>
      <c r="G331" s="30" t="s">
        <v>63</v>
      </c>
      <c r="H331" s="8"/>
      <c r="I331" s="30" t="s">
        <v>56</v>
      </c>
      <c r="J331" s="30" t="s">
        <v>77</v>
      </c>
      <c r="K331" s="30" t="s">
        <v>241</v>
      </c>
      <c r="L331" s="31" t="s">
        <v>32</v>
      </c>
      <c r="M331" s="30" t="s">
        <v>180</v>
      </c>
      <c r="N331" s="29" t="s">
        <v>520</v>
      </c>
      <c r="O331" s="135" t="s">
        <v>419</v>
      </c>
      <c r="P331" s="20"/>
    </row>
    <row r="332">
      <c r="B332" s="10">
        <v>267.0</v>
      </c>
      <c r="C332" s="119" t="s">
        <v>353</v>
      </c>
      <c r="D332" s="138" t="s">
        <v>471</v>
      </c>
      <c r="E332" s="119" t="s">
        <v>493</v>
      </c>
      <c r="F332" s="119" t="s">
        <v>62</v>
      </c>
      <c r="G332" s="43" t="s">
        <v>63</v>
      </c>
      <c r="H332" s="11"/>
      <c r="I332" s="43" t="s">
        <v>56</v>
      </c>
      <c r="J332" s="43" t="s">
        <v>77</v>
      </c>
      <c r="K332" s="43" t="s">
        <v>241</v>
      </c>
      <c r="L332" s="45" t="s">
        <v>32</v>
      </c>
      <c r="M332" s="43" t="s">
        <v>180</v>
      </c>
      <c r="N332" s="42" t="s">
        <v>521</v>
      </c>
      <c r="O332" s="135" t="s">
        <v>419</v>
      </c>
      <c r="P332" s="20"/>
    </row>
    <row r="333">
      <c r="B333" s="13">
        <v>268.0</v>
      </c>
      <c r="C333" s="119" t="s">
        <v>353</v>
      </c>
      <c r="D333" s="137" t="s">
        <v>471</v>
      </c>
      <c r="E333" s="126" t="s">
        <v>522</v>
      </c>
      <c r="F333" s="126" t="s">
        <v>62</v>
      </c>
      <c r="G333" s="30" t="s">
        <v>63</v>
      </c>
      <c r="H333" s="8"/>
      <c r="I333" s="30" t="s">
        <v>56</v>
      </c>
      <c r="J333" s="30" t="s">
        <v>77</v>
      </c>
      <c r="K333" s="30" t="s">
        <v>241</v>
      </c>
      <c r="L333" s="31" t="s">
        <v>32</v>
      </c>
      <c r="M333" s="30" t="s">
        <v>180</v>
      </c>
      <c r="N333" s="29" t="s">
        <v>523</v>
      </c>
      <c r="O333" s="135" t="s">
        <v>419</v>
      </c>
      <c r="P333" s="20"/>
    </row>
    <row r="334">
      <c r="B334" s="10">
        <v>269.0</v>
      </c>
      <c r="C334" s="119" t="s">
        <v>353</v>
      </c>
      <c r="D334" s="138" t="s">
        <v>471</v>
      </c>
      <c r="E334" s="119" t="s">
        <v>407</v>
      </c>
      <c r="F334" s="119" t="s">
        <v>62</v>
      </c>
      <c r="G334" s="43" t="s">
        <v>63</v>
      </c>
      <c r="H334" s="11"/>
      <c r="I334" s="43" t="s">
        <v>56</v>
      </c>
      <c r="J334" s="43" t="s">
        <v>77</v>
      </c>
      <c r="K334" s="43" t="s">
        <v>241</v>
      </c>
      <c r="L334" s="45" t="s">
        <v>32</v>
      </c>
      <c r="M334" s="43" t="s">
        <v>180</v>
      </c>
      <c r="N334" s="42" t="s">
        <v>524</v>
      </c>
      <c r="O334" s="135" t="s">
        <v>419</v>
      </c>
      <c r="P334" s="20"/>
    </row>
    <row r="335">
      <c r="B335" s="13">
        <v>270.0</v>
      </c>
      <c r="C335" s="119" t="s">
        <v>353</v>
      </c>
      <c r="D335" s="137" t="s">
        <v>471</v>
      </c>
      <c r="E335" s="126" t="s">
        <v>408</v>
      </c>
      <c r="F335" s="126" t="s">
        <v>62</v>
      </c>
      <c r="G335" s="30" t="s">
        <v>63</v>
      </c>
      <c r="H335" s="8"/>
      <c r="I335" s="30" t="s">
        <v>56</v>
      </c>
      <c r="J335" s="30" t="s">
        <v>77</v>
      </c>
      <c r="K335" s="30" t="s">
        <v>241</v>
      </c>
      <c r="L335" s="31" t="s">
        <v>32</v>
      </c>
      <c r="M335" s="30" t="s">
        <v>180</v>
      </c>
      <c r="N335" s="29" t="s">
        <v>525</v>
      </c>
      <c r="O335" s="135" t="s">
        <v>419</v>
      </c>
      <c r="P335" s="20"/>
    </row>
    <row r="336">
      <c r="B336" s="10">
        <v>271.0</v>
      </c>
      <c r="C336" s="119" t="s">
        <v>353</v>
      </c>
      <c r="D336" s="138" t="s">
        <v>471</v>
      </c>
      <c r="E336" s="119" t="s">
        <v>409</v>
      </c>
      <c r="F336" s="119" t="s">
        <v>62</v>
      </c>
      <c r="G336" s="43" t="s">
        <v>63</v>
      </c>
      <c r="H336" s="11"/>
      <c r="I336" s="43" t="s">
        <v>56</v>
      </c>
      <c r="J336" s="43" t="s">
        <v>77</v>
      </c>
      <c r="K336" s="43" t="s">
        <v>241</v>
      </c>
      <c r="L336" s="45" t="s">
        <v>32</v>
      </c>
      <c r="M336" s="43" t="s">
        <v>180</v>
      </c>
      <c r="N336" s="42" t="s">
        <v>526</v>
      </c>
      <c r="O336" s="135" t="s">
        <v>419</v>
      </c>
      <c r="P336" s="20"/>
    </row>
    <row r="337">
      <c r="B337" s="13">
        <v>272.0</v>
      </c>
      <c r="C337" s="119" t="s">
        <v>353</v>
      </c>
      <c r="D337" s="137" t="s">
        <v>479</v>
      </c>
      <c r="E337" s="126" t="s">
        <v>401</v>
      </c>
      <c r="F337" s="126" t="s">
        <v>62</v>
      </c>
      <c r="G337" s="30" t="s">
        <v>63</v>
      </c>
      <c r="H337" s="8"/>
      <c r="I337" s="30" t="s">
        <v>56</v>
      </c>
      <c r="J337" s="30" t="s">
        <v>77</v>
      </c>
      <c r="K337" s="30" t="s">
        <v>241</v>
      </c>
      <c r="L337" s="31" t="s">
        <v>32</v>
      </c>
      <c r="M337" s="30" t="s">
        <v>180</v>
      </c>
      <c r="N337" s="29" t="s">
        <v>527</v>
      </c>
      <c r="O337" s="135" t="s">
        <v>419</v>
      </c>
      <c r="P337" s="20"/>
    </row>
    <row r="338">
      <c r="B338" s="10">
        <v>273.0</v>
      </c>
      <c r="C338" s="119" t="s">
        <v>353</v>
      </c>
      <c r="D338" s="138" t="s">
        <v>479</v>
      </c>
      <c r="E338" s="119" t="s">
        <v>73</v>
      </c>
      <c r="F338" s="119" t="s">
        <v>62</v>
      </c>
      <c r="G338" s="43" t="s">
        <v>63</v>
      </c>
      <c r="H338" s="11"/>
      <c r="I338" s="43" t="s">
        <v>56</v>
      </c>
      <c r="J338" s="43" t="s">
        <v>77</v>
      </c>
      <c r="K338" s="43" t="s">
        <v>241</v>
      </c>
      <c r="L338" s="45" t="s">
        <v>32</v>
      </c>
      <c r="M338" s="43" t="s">
        <v>180</v>
      </c>
      <c r="N338" s="42" t="s">
        <v>528</v>
      </c>
      <c r="O338" s="135" t="s">
        <v>419</v>
      </c>
      <c r="P338" s="20"/>
    </row>
    <row r="339">
      <c r="B339" s="13">
        <v>274.0</v>
      </c>
      <c r="C339" s="119" t="s">
        <v>353</v>
      </c>
      <c r="D339" s="137" t="s">
        <v>479</v>
      </c>
      <c r="E339" s="126" t="s">
        <v>397</v>
      </c>
      <c r="F339" s="126" t="s">
        <v>62</v>
      </c>
      <c r="G339" s="30" t="s">
        <v>63</v>
      </c>
      <c r="H339" s="8"/>
      <c r="I339" s="30" t="s">
        <v>56</v>
      </c>
      <c r="J339" s="30" t="s">
        <v>77</v>
      </c>
      <c r="K339" s="30" t="s">
        <v>241</v>
      </c>
      <c r="L339" s="31" t="s">
        <v>32</v>
      </c>
      <c r="M339" s="30" t="s">
        <v>180</v>
      </c>
      <c r="N339" s="29" t="s">
        <v>529</v>
      </c>
      <c r="O339" s="135" t="s">
        <v>419</v>
      </c>
      <c r="P339" s="20"/>
    </row>
    <row r="340">
      <c r="B340" s="10">
        <v>275.0</v>
      </c>
      <c r="C340" s="119" t="s">
        <v>353</v>
      </c>
      <c r="D340" s="138" t="s">
        <v>484</v>
      </c>
      <c r="E340" s="119" t="s">
        <v>397</v>
      </c>
      <c r="F340" s="119" t="s">
        <v>62</v>
      </c>
      <c r="G340" s="43" t="s">
        <v>63</v>
      </c>
      <c r="H340" s="11"/>
      <c r="I340" s="43" t="s">
        <v>56</v>
      </c>
      <c r="J340" s="43" t="s">
        <v>77</v>
      </c>
      <c r="K340" s="43" t="s">
        <v>241</v>
      </c>
      <c r="L340" s="45" t="s">
        <v>32</v>
      </c>
      <c r="M340" s="43" t="s">
        <v>180</v>
      </c>
      <c r="N340" s="42" t="s">
        <v>530</v>
      </c>
      <c r="O340" s="135" t="s">
        <v>419</v>
      </c>
      <c r="P340" s="20"/>
    </row>
    <row r="341">
      <c r="B341" s="13">
        <v>276.0</v>
      </c>
      <c r="C341" s="119" t="s">
        <v>353</v>
      </c>
      <c r="D341" s="142" t="s">
        <v>531</v>
      </c>
      <c r="E341" s="143" t="s">
        <v>73</v>
      </c>
      <c r="F341" s="119" t="s">
        <v>62</v>
      </c>
      <c r="G341" s="30" t="s">
        <v>63</v>
      </c>
      <c r="H341" s="8"/>
      <c r="I341" s="30" t="s">
        <v>56</v>
      </c>
      <c r="J341" s="30" t="s">
        <v>77</v>
      </c>
      <c r="K341" s="30" t="s">
        <v>241</v>
      </c>
      <c r="L341" s="31" t="s">
        <v>32</v>
      </c>
      <c r="M341" s="30" t="s">
        <v>532</v>
      </c>
      <c r="N341" s="65">
        <v>45753.36133101852</v>
      </c>
      <c r="O341" s="135" t="s">
        <v>419</v>
      </c>
      <c r="P341" s="20"/>
    </row>
    <row r="342" hidden="1">
      <c r="B342" s="107"/>
      <c r="C342" s="11"/>
      <c r="D342" s="11"/>
      <c r="E342" s="11"/>
      <c r="F342" s="11"/>
      <c r="G342" s="101"/>
      <c r="H342" s="11"/>
      <c r="I342" s="101"/>
      <c r="J342" s="101"/>
      <c r="K342" s="101"/>
      <c r="L342" s="103"/>
      <c r="M342" s="101"/>
      <c r="N342" s="11"/>
      <c r="O342" s="104"/>
      <c r="P342" s="20"/>
    </row>
    <row r="343">
      <c r="B343" s="13">
        <v>277.0</v>
      </c>
      <c r="C343" s="119" t="s">
        <v>353</v>
      </c>
      <c r="D343" s="144" t="s">
        <v>533</v>
      </c>
      <c r="E343" s="29" t="s">
        <v>534</v>
      </c>
      <c r="F343" s="29" t="s">
        <v>377</v>
      </c>
      <c r="G343" s="30" t="s">
        <v>69</v>
      </c>
      <c r="H343" s="8"/>
      <c r="I343" s="30" t="s">
        <v>52</v>
      </c>
      <c r="J343" s="30" t="s">
        <v>77</v>
      </c>
      <c r="K343" s="30" t="s">
        <v>241</v>
      </c>
      <c r="L343" s="31" t="s">
        <v>32</v>
      </c>
      <c r="M343" s="30" t="s">
        <v>535</v>
      </c>
      <c r="N343" s="65">
        <v>45753.36133101852</v>
      </c>
      <c r="O343" s="135" t="s">
        <v>419</v>
      </c>
      <c r="P343" s="20"/>
    </row>
    <row r="344">
      <c r="B344" s="10">
        <v>278.0</v>
      </c>
      <c r="C344" s="119" t="s">
        <v>353</v>
      </c>
      <c r="D344" s="74" t="s">
        <v>533</v>
      </c>
      <c r="E344" s="42" t="s">
        <v>534</v>
      </c>
      <c r="F344" s="119" t="s">
        <v>62</v>
      </c>
      <c r="G344" s="43" t="s">
        <v>63</v>
      </c>
      <c r="H344" s="11"/>
      <c r="I344" s="43" t="s">
        <v>56</v>
      </c>
      <c r="J344" s="43" t="s">
        <v>77</v>
      </c>
      <c r="K344" s="43" t="s">
        <v>241</v>
      </c>
      <c r="L344" s="45" t="s">
        <v>32</v>
      </c>
      <c r="M344" s="43" t="s">
        <v>536</v>
      </c>
      <c r="N344" s="42" t="s">
        <v>537</v>
      </c>
      <c r="O344" s="135" t="s">
        <v>419</v>
      </c>
      <c r="P344" s="20"/>
    </row>
    <row r="345">
      <c r="B345" s="13">
        <v>279.0</v>
      </c>
      <c r="C345" s="119" t="s">
        <v>353</v>
      </c>
      <c r="D345" s="76" t="s">
        <v>538</v>
      </c>
      <c r="E345" s="29" t="s">
        <v>539</v>
      </c>
      <c r="F345" s="29" t="s">
        <v>377</v>
      </c>
      <c r="G345" s="30" t="s">
        <v>69</v>
      </c>
      <c r="H345" s="8"/>
      <c r="I345" s="30" t="s">
        <v>52</v>
      </c>
      <c r="J345" s="30" t="s">
        <v>77</v>
      </c>
      <c r="K345" s="30" t="s">
        <v>241</v>
      </c>
      <c r="L345" s="31" t="s">
        <v>32</v>
      </c>
      <c r="M345" s="30" t="s">
        <v>540</v>
      </c>
      <c r="N345" s="65">
        <v>45753.36133101852</v>
      </c>
      <c r="O345" s="135" t="s">
        <v>419</v>
      </c>
      <c r="P345" s="20"/>
    </row>
    <row r="346">
      <c r="B346" s="10">
        <v>280.0</v>
      </c>
      <c r="C346" s="119" t="s">
        <v>353</v>
      </c>
      <c r="D346" s="79" t="s">
        <v>541</v>
      </c>
      <c r="E346" s="42" t="s">
        <v>542</v>
      </c>
      <c r="F346" s="119" t="s">
        <v>62</v>
      </c>
      <c r="G346" s="43" t="s">
        <v>63</v>
      </c>
      <c r="H346" s="11"/>
      <c r="I346" s="43" t="s">
        <v>56</v>
      </c>
      <c r="J346" s="43" t="s">
        <v>77</v>
      </c>
      <c r="K346" s="43" t="s">
        <v>241</v>
      </c>
      <c r="L346" s="45" t="s">
        <v>32</v>
      </c>
      <c r="M346" s="43" t="s">
        <v>543</v>
      </c>
      <c r="N346" s="42" t="s">
        <v>544</v>
      </c>
      <c r="O346" s="135" t="s">
        <v>419</v>
      </c>
      <c r="P346" s="20"/>
    </row>
    <row r="347">
      <c r="B347" s="13">
        <v>281.0</v>
      </c>
      <c r="C347" s="119" t="s">
        <v>353</v>
      </c>
      <c r="D347" s="76" t="s">
        <v>545</v>
      </c>
      <c r="E347" s="29" t="s">
        <v>546</v>
      </c>
      <c r="F347" s="29" t="s">
        <v>377</v>
      </c>
      <c r="G347" s="30" t="s">
        <v>69</v>
      </c>
      <c r="H347" s="8"/>
      <c r="I347" s="30" t="s">
        <v>52</v>
      </c>
      <c r="J347" s="30" t="s">
        <v>77</v>
      </c>
      <c r="K347" s="30" t="s">
        <v>241</v>
      </c>
      <c r="L347" s="31" t="s">
        <v>32</v>
      </c>
      <c r="M347" s="30" t="s">
        <v>547</v>
      </c>
      <c r="N347" s="65">
        <v>45753.36133101852</v>
      </c>
      <c r="O347" s="135" t="s">
        <v>419</v>
      </c>
      <c r="P347" s="20"/>
    </row>
    <row r="348">
      <c r="B348" s="10">
        <v>282.0</v>
      </c>
      <c r="C348" s="119" t="s">
        <v>353</v>
      </c>
      <c r="D348" s="79" t="s">
        <v>545</v>
      </c>
      <c r="E348" s="42" t="s">
        <v>539</v>
      </c>
      <c r="F348" s="42" t="s">
        <v>377</v>
      </c>
      <c r="G348" s="43" t="s">
        <v>69</v>
      </c>
      <c r="H348" s="11"/>
      <c r="I348" s="43" t="s">
        <v>52</v>
      </c>
      <c r="J348" s="43" t="s">
        <v>77</v>
      </c>
      <c r="K348" s="43" t="s">
        <v>241</v>
      </c>
      <c r="L348" s="45" t="s">
        <v>32</v>
      </c>
      <c r="M348" s="43" t="s">
        <v>548</v>
      </c>
      <c r="N348" s="66">
        <v>45753.36133101852</v>
      </c>
      <c r="O348" s="135" t="s">
        <v>419</v>
      </c>
      <c r="P348" s="20"/>
    </row>
    <row r="349">
      <c r="B349" s="13">
        <v>283.0</v>
      </c>
      <c r="C349" s="119" t="s">
        <v>353</v>
      </c>
      <c r="D349" s="76" t="s">
        <v>545</v>
      </c>
      <c r="E349" s="29" t="s">
        <v>549</v>
      </c>
      <c r="F349" s="29" t="s">
        <v>377</v>
      </c>
      <c r="G349" s="30" t="s">
        <v>69</v>
      </c>
      <c r="H349" s="8"/>
      <c r="I349" s="30" t="s">
        <v>52</v>
      </c>
      <c r="J349" s="30" t="s">
        <v>77</v>
      </c>
      <c r="K349" s="30" t="s">
        <v>241</v>
      </c>
      <c r="L349" s="31" t="s">
        <v>32</v>
      </c>
      <c r="M349" s="30" t="s">
        <v>550</v>
      </c>
      <c r="N349" s="65">
        <v>45753.36133101852</v>
      </c>
      <c r="O349" s="135" t="s">
        <v>419</v>
      </c>
      <c r="P349" s="20"/>
    </row>
    <row r="350">
      <c r="B350" s="10">
        <v>284.0</v>
      </c>
      <c r="C350" s="120" t="s">
        <v>353</v>
      </c>
      <c r="D350" s="79" t="s">
        <v>551</v>
      </c>
      <c r="E350" s="42" t="s">
        <v>552</v>
      </c>
      <c r="F350" s="42" t="s">
        <v>553</v>
      </c>
      <c r="G350" s="43" t="s">
        <v>69</v>
      </c>
      <c r="H350" s="11"/>
      <c r="I350" s="43" t="s">
        <v>52</v>
      </c>
      <c r="J350" s="43" t="s">
        <v>77</v>
      </c>
      <c r="K350" s="43" t="s">
        <v>241</v>
      </c>
      <c r="L350" s="45" t="s">
        <v>32</v>
      </c>
      <c r="M350" s="43" t="s">
        <v>554</v>
      </c>
      <c r="N350" s="42" t="s">
        <v>555</v>
      </c>
      <c r="O350" s="135" t="s">
        <v>419</v>
      </c>
      <c r="P350" s="20"/>
    </row>
    <row r="351">
      <c r="B351" s="13">
        <v>285.0</v>
      </c>
      <c r="C351" s="120" t="s">
        <v>556</v>
      </c>
      <c r="D351" s="76" t="s">
        <v>557</v>
      </c>
      <c r="E351" s="29" t="s">
        <v>552</v>
      </c>
      <c r="F351" s="29" t="s">
        <v>553</v>
      </c>
      <c r="G351" s="30" t="s">
        <v>69</v>
      </c>
      <c r="H351" s="8"/>
      <c r="I351" s="30" t="s">
        <v>52</v>
      </c>
      <c r="J351" s="30" t="s">
        <v>77</v>
      </c>
      <c r="K351" s="30" t="s">
        <v>241</v>
      </c>
      <c r="L351" s="31" t="s">
        <v>32</v>
      </c>
      <c r="M351" s="30" t="s">
        <v>558</v>
      </c>
      <c r="N351" s="29" t="s">
        <v>559</v>
      </c>
      <c r="O351" s="135" t="s">
        <v>419</v>
      </c>
      <c r="P351" s="20"/>
    </row>
    <row r="352">
      <c r="B352" s="10">
        <v>286.0</v>
      </c>
      <c r="C352" s="120" t="s">
        <v>560</v>
      </c>
      <c r="D352" s="79" t="s">
        <v>561</v>
      </c>
      <c r="E352" s="42" t="s">
        <v>552</v>
      </c>
      <c r="F352" s="42" t="s">
        <v>553</v>
      </c>
      <c r="G352" s="43" t="s">
        <v>69</v>
      </c>
      <c r="H352" s="11"/>
      <c r="I352" s="43" t="s">
        <v>52</v>
      </c>
      <c r="J352" s="43" t="s">
        <v>77</v>
      </c>
      <c r="K352" s="43" t="s">
        <v>241</v>
      </c>
      <c r="L352" s="45" t="s">
        <v>32</v>
      </c>
      <c r="M352" s="43" t="s">
        <v>562</v>
      </c>
      <c r="N352" s="42" t="s">
        <v>563</v>
      </c>
      <c r="O352" s="135" t="s">
        <v>419</v>
      </c>
      <c r="P352" s="20"/>
    </row>
    <row r="353">
      <c r="B353" s="13">
        <v>287.0</v>
      </c>
      <c r="C353" s="120" t="s">
        <v>564</v>
      </c>
      <c r="D353" s="76" t="s">
        <v>565</v>
      </c>
      <c r="E353" s="29" t="s">
        <v>566</v>
      </c>
      <c r="F353" s="29" t="s">
        <v>567</v>
      </c>
      <c r="G353" s="30" t="s">
        <v>69</v>
      </c>
      <c r="H353" s="8"/>
      <c r="I353" s="30" t="s">
        <v>29</v>
      </c>
      <c r="J353" s="30" t="s">
        <v>77</v>
      </c>
      <c r="K353" s="30" t="s">
        <v>241</v>
      </c>
      <c r="L353" s="31" t="s">
        <v>32</v>
      </c>
      <c r="M353" s="30" t="s">
        <v>562</v>
      </c>
      <c r="N353" s="29" t="s">
        <v>568</v>
      </c>
      <c r="O353" s="135" t="s">
        <v>419</v>
      </c>
      <c r="P353" s="20"/>
    </row>
    <row r="354">
      <c r="B354" s="10">
        <v>288.0</v>
      </c>
      <c r="C354" s="120" t="s">
        <v>564</v>
      </c>
      <c r="D354" s="79" t="s">
        <v>569</v>
      </c>
      <c r="E354" s="42" t="s">
        <v>570</v>
      </c>
      <c r="F354" s="42" t="s">
        <v>571</v>
      </c>
      <c r="G354" s="43" t="s">
        <v>113</v>
      </c>
      <c r="H354" s="11"/>
      <c r="I354" s="43" t="s">
        <v>29</v>
      </c>
      <c r="J354" s="43" t="s">
        <v>77</v>
      </c>
      <c r="K354" s="43" t="s">
        <v>241</v>
      </c>
      <c r="L354" s="45" t="s">
        <v>32</v>
      </c>
      <c r="M354" s="43" t="s">
        <v>572</v>
      </c>
      <c r="N354" s="42" t="s">
        <v>573</v>
      </c>
      <c r="O354" s="135" t="s">
        <v>419</v>
      </c>
      <c r="P354" s="20"/>
    </row>
    <row r="355" hidden="1">
      <c r="B355" s="145">
        <v>289.0</v>
      </c>
      <c r="C355" s="146"/>
      <c r="D355" s="147"/>
      <c r="E355" s="147"/>
      <c r="F355" s="147"/>
      <c r="G355" s="148"/>
      <c r="H355" s="147"/>
      <c r="I355" s="148"/>
      <c r="J355" s="148"/>
      <c r="K355" s="148"/>
      <c r="L355" s="149"/>
      <c r="M355" s="148"/>
      <c r="N355" s="147"/>
      <c r="O355" s="150"/>
      <c r="P355" s="20"/>
    </row>
    <row r="356">
      <c r="E356" s="151"/>
      <c r="F356" s="151"/>
      <c r="G356" s="18"/>
      <c r="K356" s="18"/>
      <c r="M356" s="18"/>
      <c r="N356" s="151"/>
      <c r="P356" s="20"/>
    </row>
    <row r="357">
      <c r="E357" s="151"/>
      <c r="F357" s="151"/>
      <c r="G357" s="18"/>
      <c r="K357" s="18"/>
      <c r="M357" s="18"/>
      <c r="N357" s="151"/>
      <c r="P357" s="20"/>
    </row>
    <row r="358">
      <c r="E358" s="151"/>
      <c r="F358" s="151"/>
      <c r="G358" s="18"/>
      <c r="K358" s="18"/>
      <c r="M358" s="18"/>
      <c r="N358" s="151"/>
      <c r="P358" s="20"/>
    </row>
    <row r="359">
      <c r="E359" s="151"/>
      <c r="F359" s="151"/>
      <c r="G359" s="18"/>
      <c r="K359" s="18"/>
      <c r="M359" s="18"/>
      <c r="N359" s="151"/>
      <c r="P359" s="20"/>
    </row>
    <row r="360">
      <c r="E360" s="151"/>
      <c r="F360" s="151"/>
      <c r="G360" s="18"/>
      <c r="K360" s="18"/>
      <c r="M360" s="18"/>
      <c r="N360" s="151"/>
      <c r="P360" s="20"/>
    </row>
    <row r="361">
      <c r="E361" s="151"/>
      <c r="F361" s="151"/>
      <c r="G361" s="18"/>
      <c r="K361" s="18"/>
      <c r="M361" s="18"/>
      <c r="N361" s="151"/>
      <c r="P361" s="20"/>
    </row>
    <row r="362">
      <c r="E362" s="151"/>
      <c r="F362" s="151"/>
      <c r="G362" s="18"/>
      <c r="K362" s="18"/>
      <c r="M362" s="18"/>
      <c r="N362" s="151"/>
      <c r="P362" s="20"/>
    </row>
    <row r="363">
      <c r="E363" s="151"/>
      <c r="F363" s="151"/>
      <c r="G363" s="18"/>
      <c r="K363" s="18"/>
      <c r="M363" s="18"/>
      <c r="N363" s="151"/>
      <c r="P363" s="20"/>
    </row>
    <row r="364">
      <c r="E364" s="151"/>
      <c r="F364" s="151"/>
      <c r="G364" s="18"/>
      <c r="K364" s="18"/>
      <c r="M364" s="18"/>
      <c r="N364" s="151"/>
      <c r="P364" s="20"/>
    </row>
    <row r="365">
      <c r="E365" s="151"/>
      <c r="F365" s="151"/>
      <c r="G365" s="18"/>
      <c r="K365" s="18"/>
      <c r="M365" s="18"/>
      <c r="N365" s="151"/>
      <c r="P365" s="20"/>
    </row>
    <row r="366">
      <c r="E366" s="151"/>
      <c r="F366" s="151"/>
      <c r="G366" s="18"/>
      <c r="K366" s="18"/>
      <c r="M366" s="18"/>
      <c r="N366" s="151"/>
      <c r="P366" s="20"/>
    </row>
    <row r="367">
      <c r="E367" s="151"/>
      <c r="F367" s="151"/>
      <c r="G367" s="18"/>
      <c r="K367" s="18"/>
      <c r="M367" s="18"/>
      <c r="N367" s="151"/>
      <c r="P367" s="20"/>
    </row>
    <row r="368">
      <c r="E368" s="151"/>
      <c r="F368" s="151"/>
      <c r="G368" s="18"/>
      <c r="K368" s="18"/>
      <c r="M368" s="18"/>
      <c r="N368" s="151"/>
      <c r="P368" s="20"/>
    </row>
    <row r="369">
      <c r="E369" s="151"/>
      <c r="F369" s="151"/>
      <c r="G369" s="18"/>
      <c r="K369" s="18"/>
      <c r="M369" s="18"/>
      <c r="N369" s="151"/>
      <c r="P369" s="20"/>
    </row>
    <row r="370">
      <c r="E370" s="151"/>
      <c r="F370" s="151"/>
      <c r="G370" s="18"/>
      <c r="K370" s="18"/>
      <c r="M370" s="18"/>
      <c r="N370" s="151"/>
      <c r="P370" s="20"/>
    </row>
    <row r="371">
      <c r="E371" s="151"/>
      <c r="F371" s="151"/>
      <c r="G371" s="18"/>
      <c r="K371" s="18"/>
      <c r="M371" s="18"/>
      <c r="N371" s="151"/>
      <c r="P371" s="20"/>
    </row>
    <row r="372">
      <c r="E372" s="151"/>
      <c r="F372" s="151"/>
      <c r="G372" s="18"/>
      <c r="K372" s="18"/>
      <c r="M372" s="18"/>
      <c r="N372" s="151"/>
      <c r="P372" s="20"/>
    </row>
    <row r="373">
      <c r="E373" s="151"/>
      <c r="F373" s="151"/>
      <c r="G373" s="18"/>
      <c r="K373" s="18"/>
      <c r="M373" s="18"/>
      <c r="N373" s="151"/>
      <c r="P373" s="20"/>
    </row>
    <row r="374">
      <c r="E374" s="151"/>
      <c r="F374" s="151"/>
      <c r="G374" s="18"/>
      <c r="K374" s="18"/>
      <c r="M374" s="18"/>
      <c r="N374" s="151"/>
      <c r="P374" s="20"/>
    </row>
    <row r="375">
      <c r="E375" s="151"/>
      <c r="F375" s="151"/>
      <c r="G375" s="18"/>
      <c r="K375" s="18"/>
      <c r="M375" s="18"/>
      <c r="N375" s="151"/>
      <c r="P375" s="20"/>
    </row>
    <row r="376">
      <c r="E376" s="151"/>
      <c r="F376" s="151"/>
      <c r="G376" s="18"/>
      <c r="K376" s="18"/>
      <c r="M376" s="18"/>
      <c r="N376" s="151"/>
      <c r="P376" s="20"/>
    </row>
    <row r="377">
      <c r="E377" s="151"/>
      <c r="F377" s="151"/>
      <c r="G377" s="18"/>
      <c r="K377" s="18"/>
      <c r="M377" s="18"/>
      <c r="N377" s="151"/>
      <c r="P377" s="20"/>
    </row>
    <row r="378">
      <c r="E378" s="151"/>
      <c r="F378" s="151"/>
      <c r="G378" s="18"/>
      <c r="K378" s="18"/>
      <c r="M378" s="18"/>
      <c r="N378" s="151"/>
      <c r="P378" s="20"/>
    </row>
    <row r="379">
      <c r="E379" s="151"/>
      <c r="F379" s="151"/>
      <c r="G379" s="18"/>
      <c r="K379" s="18"/>
      <c r="M379" s="18"/>
      <c r="N379" s="151"/>
      <c r="P379" s="20"/>
    </row>
    <row r="380">
      <c r="E380" s="151"/>
      <c r="F380" s="151"/>
      <c r="G380" s="18"/>
      <c r="K380" s="18"/>
      <c r="M380" s="18"/>
      <c r="N380" s="151"/>
      <c r="P380" s="20"/>
    </row>
    <row r="381">
      <c r="E381" s="151"/>
      <c r="F381" s="151"/>
      <c r="G381" s="18"/>
      <c r="K381" s="18"/>
      <c r="M381" s="18"/>
      <c r="N381" s="151"/>
      <c r="P381" s="20"/>
    </row>
    <row r="382">
      <c r="E382" s="151"/>
      <c r="F382" s="151"/>
      <c r="G382" s="18"/>
      <c r="K382" s="18"/>
      <c r="M382" s="18"/>
      <c r="N382" s="151"/>
      <c r="P382" s="20"/>
    </row>
    <row r="383">
      <c r="E383" s="151"/>
      <c r="F383" s="151"/>
      <c r="G383" s="18"/>
      <c r="K383" s="18"/>
      <c r="M383" s="18"/>
      <c r="N383" s="151"/>
      <c r="P383" s="20"/>
    </row>
    <row r="384">
      <c r="E384" s="151"/>
      <c r="F384" s="151"/>
      <c r="G384" s="18"/>
      <c r="K384" s="18"/>
      <c r="M384" s="18"/>
      <c r="N384" s="151"/>
      <c r="P384" s="20"/>
    </row>
    <row r="385">
      <c r="E385" s="151"/>
      <c r="F385" s="151"/>
      <c r="G385" s="18"/>
      <c r="K385" s="18"/>
      <c r="M385" s="18"/>
      <c r="N385" s="151"/>
      <c r="P385" s="20"/>
    </row>
    <row r="386">
      <c r="E386" s="151"/>
      <c r="F386" s="151"/>
      <c r="G386" s="18"/>
      <c r="K386" s="18"/>
      <c r="M386" s="18"/>
      <c r="N386" s="151"/>
      <c r="P386" s="20"/>
    </row>
    <row r="387">
      <c r="E387" s="151"/>
      <c r="F387" s="151"/>
      <c r="G387" s="18"/>
      <c r="K387" s="18"/>
      <c r="M387" s="18"/>
      <c r="N387" s="151"/>
      <c r="P387" s="20"/>
    </row>
    <row r="388">
      <c r="E388" s="151"/>
      <c r="F388" s="151"/>
      <c r="G388" s="18"/>
      <c r="K388" s="18"/>
      <c r="M388" s="18"/>
      <c r="N388" s="151"/>
      <c r="P388" s="20"/>
    </row>
    <row r="389">
      <c r="E389" s="151"/>
      <c r="F389" s="151"/>
      <c r="G389" s="18"/>
      <c r="K389" s="18"/>
      <c r="M389" s="18"/>
      <c r="N389" s="151"/>
      <c r="P389" s="20"/>
    </row>
    <row r="390">
      <c r="E390" s="151"/>
      <c r="F390" s="151"/>
      <c r="G390" s="18"/>
      <c r="K390" s="18"/>
      <c r="M390" s="18"/>
      <c r="N390" s="151"/>
      <c r="P390" s="20"/>
    </row>
    <row r="391">
      <c r="E391" s="151"/>
      <c r="F391" s="151"/>
      <c r="G391" s="18"/>
      <c r="K391" s="18"/>
      <c r="M391" s="18"/>
      <c r="N391" s="151"/>
      <c r="P391" s="20"/>
    </row>
    <row r="392">
      <c r="E392" s="151"/>
      <c r="F392" s="151"/>
      <c r="G392" s="18"/>
      <c r="K392" s="18"/>
      <c r="M392" s="18"/>
      <c r="N392" s="151"/>
      <c r="P392" s="20"/>
    </row>
    <row r="393">
      <c r="E393" s="151"/>
      <c r="F393" s="151"/>
      <c r="G393" s="18"/>
      <c r="K393" s="18"/>
      <c r="M393" s="18"/>
      <c r="N393" s="151"/>
      <c r="P393" s="20"/>
    </row>
    <row r="394">
      <c r="E394" s="151"/>
      <c r="F394" s="151"/>
      <c r="G394" s="18"/>
      <c r="K394" s="18"/>
      <c r="M394" s="18"/>
      <c r="N394" s="151"/>
      <c r="P394" s="20"/>
    </row>
    <row r="395">
      <c r="E395" s="151"/>
      <c r="F395" s="151"/>
      <c r="G395" s="18"/>
      <c r="K395" s="18"/>
      <c r="M395" s="18"/>
      <c r="N395" s="151"/>
      <c r="P395" s="20"/>
    </row>
    <row r="396">
      <c r="E396" s="151"/>
      <c r="F396" s="151"/>
      <c r="G396" s="18"/>
      <c r="K396" s="18"/>
      <c r="M396" s="18"/>
      <c r="N396" s="151"/>
      <c r="P396" s="20"/>
    </row>
    <row r="397">
      <c r="E397" s="151"/>
      <c r="F397" s="151"/>
      <c r="G397" s="18"/>
      <c r="K397" s="18"/>
      <c r="M397" s="18"/>
      <c r="N397" s="151"/>
      <c r="P397" s="20"/>
    </row>
    <row r="398">
      <c r="E398" s="151"/>
      <c r="F398" s="151"/>
      <c r="G398" s="18"/>
      <c r="K398" s="18"/>
      <c r="M398" s="18"/>
      <c r="N398" s="151"/>
      <c r="P398" s="20"/>
    </row>
    <row r="399">
      <c r="E399" s="151"/>
      <c r="F399" s="151"/>
      <c r="G399" s="18"/>
      <c r="K399" s="18"/>
      <c r="M399" s="18"/>
      <c r="N399" s="151"/>
      <c r="P399" s="20"/>
    </row>
    <row r="400">
      <c r="E400" s="151"/>
      <c r="F400" s="151"/>
      <c r="G400" s="18"/>
      <c r="K400" s="18"/>
      <c r="M400" s="18"/>
      <c r="N400" s="151"/>
      <c r="P400" s="20"/>
    </row>
    <row r="401">
      <c r="E401" s="151"/>
      <c r="F401" s="151"/>
      <c r="G401" s="18"/>
      <c r="K401" s="18"/>
      <c r="M401" s="18"/>
      <c r="N401" s="151"/>
      <c r="P401" s="20"/>
    </row>
    <row r="402">
      <c r="E402" s="151"/>
      <c r="F402" s="151"/>
      <c r="G402" s="18"/>
      <c r="K402" s="18"/>
      <c r="M402" s="18"/>
      <c r="N402" s="151"/>
      <c r="P402" s="20"/>
    </row>
    <row r="403">
      <c r="E403" s="151"/>
      <c r="F403" s="151"/>
      <c r="G403" s="18"/>
      <c r="K403" s="18"/>
      <c r="M403" s="18"/>
      <c r="N403" s="151"/>
      <c r="P403" s="20"/>
    </row>
    <row r="404">
      <c r="E404" s="151"/>
      <c r="F404" s="151"/>
      <c r="G404" s="18"/>
      <c r="K404" s="18"/>
      <c r="M404" s="18"/>
      <c r="N404" s="151"/>
      <c r="P404" s="20"/>
    </row>
    <row r="405">
      <c r="E405" s="151"/>
      <c r="F405" s="151"/>
      <c r="G405" s="18"/>
      <c r="K405" s="18"/>
      <c r="M405" s="18"/>
      <c r="N405" s="151"/>
      <c r="P405" s="20"/>
    </row>
    <row r="406">
      <c r="E406" s="151"/>
      <c r="F406" s="151"/>
      <c r="G406" s="18"/>
      <c r="K406" s="18"/>
      <c r="M406" s="18"/>
      <c r="N406" s="151"/>
      <c r="P406" s="20"/>
    </row>
    <row r="407">
      <c r="E407" s="151"/>
      <c r="F407" s="151"/>
      <c r="G407" s="18"/>
      <c r="K407" s="18"/>
      <c r="M407" s="18"/>
      <c r="N407" s="151"/>
      <c r="P407" s="20"/>
    </row>
    <row r="408">
      <c r="E408" s="151"/>
      <c r="F408" s="151"/>
      <c r="G408" s="18"/>
      <c r="K408" s="18"/>
      <c r="M408" s="18"/>
      <c r="N408" s="151"/>
      <c r="P408" s="20"/>
    </row>
    <row r="409">
      <c r="E409" s="151"/>
      <c r="F409" s="151"/>
      <c r="G409" s="18"/>
      <c r="K409" s="18"/>
      <c r="M409" s="18"/>
      <c r="N409" s="151"/>
      <c r="P409" s="20"/>
    </row>
    <row r="410">
      <c r="E410" s="151"/>
      <c r="F410" s="151"/>
      <c r="G410" s="18"/>
      <c r="K410" s="18"/>
      <c r="M410" s="18"/>
      <c r="N410" s="151"/>
      <c r="P410" s="20"/>
    </row>
    <row r="411">
      <c r="E411" s="151"/>
      <c r="F411" s="151"/>
      <c r="G411" s="18"/>
      <c r="K411" s="18"/>
      <c r="M411" s="18"/>
      <c r="N411" s="151"/>
      <c r="P411" s="20"/>
    </row>
    <row r="412">
      <c r="E412" s="151"/>
      <c r="F412" s="151"/>
      <c r="G412" s="18"/>
      <c r="K412" s="18"/>
      <c r="M412" s="18"/>
      <c r="N412" s="151"/>
      <c r="P412" s="20"/>
    </row>
    <row r="413">
      <c r="E413" s="151"/>
      <c r="F413" s="151"/>
      <c r="G413" s="18"/>
      <c r="K413" s="18"/>
      <c r="M413" s="18"/>
      <c r="N413" s="151"/>
      <c r="P413" s="20"/>
    </row>
    <row r="414">
      <c r="E414" s="151"/>
      <c r="F414" s="151"/>
      <c r="G414" s="18"/>
      <c r="K414" s="18"/>
      <c r="M414" s="18"/>
      <c r="N414" s="151"/>
      <c r="P414" s="20"/>
    </row>
    <row r="415">
      <c r="E415" s="151"/>
      <c r="F415" s="151"/>
      <c r="G415" s="18"/>
      <c r="K415" s="18"/>
      <c r="M415" s="18"/>
      <c r="N415" s="151"/>
      <c r="P415" s="20"/>
    </row>
    <row r="416">
      <c r="E416" s="151"/>
      <c r="F416" s="151"/>
      <c r="G416" s="18"/>
      <c r="K416" s="18"/>
      <c r="M416" s="18"/>
      <c r="N416" s="151"/>
      <c r="P416" s="20"/>
    </row>
    <row r="417">
      <c r="E417" s="151"/>
      <c r="F417" s="151"/>
      <c r="G417" s="18"/>
      <c r="K417" s="18"/>
      <c r="M417" s="18"/>
      <c r="N417" s="151"/>
      <c r="P417" s="20"/>
    </row>
    <row r="418">
      <c r="E418" s="151"/>
      <c r="F418" s="151"/>
      <c r="G418" s="18"/>
      <c r="K418" s="18"/>
      <c r="M418" s="18"/>
      <c r="N418" s="151"/>
      <c r="P418" s="20"/>
    </row>
    <row r="419">
      <c r="E419" s="151"/>
      <c r="F419" s="151"/>
      <c r="G419" s="18"/>
      <c r="K419" s="18"/>
      <c r="M419" s="18"/>
      <c r="N419" s="151"/>
      <c r="P419" s="20"/>
    </row>
    <row r="420">
      <c r="E420" s="151"/>
      <c r="F420" s="151"/>
      <c r="G420" s="18"/>
      <c r="K420" s="18"/>
      <c r="M420" s="18"/>
      <c r="N420" s="151"/>
      <c r="P420" s="20"/>
    </row>
    <row r="421">
      <c r="E421" s="151"/>
      <c r="F421" s="151"/>
      <c r="G421" s="18"/>
      <c r="K421" s="18"/>
      <c r="M421" s="18"/>
      <c r="N421" s="151"/>
      <c r="P421" s="20"/>
    </row>
    <row r="422">
      <c r="E422" s="151"/>
      <c r="F422" s="151"/>
      <c r="G422" s="18"/>
      <c r="K422" s="18"/>
      <c r="M422" s="18"/>
      <c r="N422" s="151"/>
      <c r="P422" s="20"/>
    </row>
    <row r="423">
      <c r="E423" s="151"/>
      <c r="F423" s="151"/>
      <c r="G423" s="18"/>
      <c r="K423" s="18"/>
      <c r="M423" s="18"/>
      <c r="N423" s="151"/>
      <c r="P423" s="20"/>
    </row>
    <row r="424">
      <c r="E424" s="151"/>
      <c r="F424" s="151"/>
      <c r="G424" s="18"/>
      <c r="K424" s="18"/>
      <c r="M424" s="18"/>
      <c r="N424" s="151"/>
      <c r="P424" s="20"/>
    </row>
    <row r="425">
      <c r="E425" s="151"/>
      <c r="F425" s="151"/>
      <c r="G425" s="18"/>
      <c r="K425" s="18"/>
      <c r="M425" s="18"/>
      <c r="N425" s="151"/>
      <c r="P425" s="20"/>
    </row>
    <row r="426">
      <c r="E426" s="151"/>
      <c r="F426" s="151"/>
      <c r="G426" s="18"/>
      <c r="K426" s="18"/>
      <c r="M426" s="18"/>
      <c r="N426" s="151"/>
      <c r="P426" s="20"/>
    </row>
    <row r="427">
      <c r="E427" s="151"/>
      <c r="F427" s="151"/>
      <c r="G427" s="18"/>
      <c r="K427" s="18"/>
      <c r="M427" s="18"/>
      <c r="N427" s="151"/>
      <c r="P427" s="20"/>
    </row>
    <row r="428">
      <c r="E428" s="151"/>
      <c r="F428" s="151"/>
      <c r="G428" s="18"/>
      <c r="K428" s="18"/>
      <c r="M428" s="18"/>
      <c r="N428" s="151"/>
      <c r="P428" s="20"/>
    </row>
    <row r="429">
      <c r="E429" s="151"/>
      <c r="F429" s="151"/>
      <c r="G429" s="18"/>
      <c r="K429" s="18"/>
      <c r="M429" s="18"/>
      <c r="N429" s="151"/>
      <c r="P429" s="20"/>
    </row>
    <row r="430">
      <c r="E430" s="151"/>
      <c r="F430" s="151"/>
      <c r="G430" s="18"/>
      <c r="K430" s="18"/>
      <c r="M430" s="18"/>
      <c r="N430" s="151"/>
      <c r="P430" s="20"/>
    </row>
    <row r="431">
      <c r="E431" s="151"/>
      <c r="F431" s="151"/>
      <c r="G431" s="18"/>
      <c r="K431" s="18"/>
      <c r="M431" s="18"/>
      <c r="N431" s="151"/>
      <c r="P431" s="20"/>
    </row>
    <row r="432">
      <c r="E432" s="151"/>
      <c r="F432" s="151"/>
      <c r="G432" s="18"/>
      <c r="K432" s="18"/>
      <c r="M432" s="18"/>
      <c r="N432" s="151"/>
      <c r="P432" s="20"/>
    </row>
    <row r="433">
      <c r="E433" s="151"/>
      <c r="F433" s="151"/>
      <c r="G433" s="18"/>
      <c r="K433" s="18"/>
      <c r="M433" s="18"/>
      <c r="N433" s="151"/>
      <c r="P433" s="20"/>
    </row>
    <row r="434">
      <c r="E434" s="151"/>
      <c r="F434" s="151"/>
      <c r="G434" s="18"/>
      <c r="K434" s="18"/>
      <c r="M434" s="18"/>
      <c r="N434" s="151"/>
      <c r="P434" s="20"/>
    </row>
    <row r="435">
      <c r="E435" s="151"/>
      <c r="F435" s="151"/>
      <c r="G435" s="18"/>
      <c r="K435" s="18"/>
      <c r="M435" s="18"/>
      <c r="N435" s="151"/>
      <c r="P435" s="20"/>
    </row>
    <row r="436">
      <c r="E436" s="151"/>
      <c r="F436" s="151"/>
      <c r="G436" s="18"/>
      <c r="K436" s="18"/>
      <c r="M436" s="18"/>
      <c r="N436" s="151"/>
      <c r="P436" s="20"/>
    </row>
    <row r="437">
      <c r="E437" s="151"/>
      <c r="F437" s="151"/>
      <c r="G437" s="18"/>
      <c r="K437" s="18"/>
      <c r="M437" s="18"/>
      <c r="N437" s="151"/>
      <c r="P437" s="20"/>
    </row>
    <row r="438">
      <c r="E438" s="151"/>
      <c r="F438" s="151"/>
      <c r="G438" s="18"/>
      <c r="K438" s="18"/>
      <c r="M438" s="18"/>
      <c r="N438" s="151"/>
      <c r="P438" s="20"/>
    </row>
    <row r="439">
      <c r="E439" s="151"/>
      <c r="F439" s="151"/>
      <c r="G439" s="18"/>
      <c r="K439" s="18"/>
      <c r="M439" s="18"/>
      <c r="N439" s="151"/>
      <c r="P439" s="20"/>
    </row>
    <row r="440">
      <c r="E440" s="151"/>
      <c r="F440" s="151"/>
      <c r="G440" s="18"/>
      <c r="K440" s="18"/>
      <c r="M440" s="18"/>
      <c r="N440" s="151"/>
      <c r="P440" s="20"/>
    </row>
    <row r="441">
      <c r="E441" s="151"/>
      <c r="F441" s="151"/>
      <c r="G441" s="18"/>
      <c r="K441" s="18"/>
      <c r="M441" s="18"/>
      <c r="N441" s="151"/>
      <c r="P441" s="20"/>
    </row>
    <row r="442">
      <c r="E442" s="151"/>
      <c r="F442" s="151"/>
      <c r="G442" s="18"/>
      <c r="K442" s="18"/>
      <c r="M442" s="18"/>
      <c r="N442" s="151"/>
      <c r="P442" s="20"/>
    </row>
    <row r="443">
      <c r="E443" s="151"/>
      <c r="F443" s="151"/>
      <c r="G443" s="18"/>
      <c r="K443" s="18"/>
      <c r="M443" s="18"/>
      <c r="N443" s="151"/>
      <c r="P443" s="20"/>
    </row>
    <row r="444">
      <c r="E444" s="151"/>
      <c r="F444" s="151"/>
      <c r="G444" s="18"/>
      <c r="K444" s="18"/>
      <c r="M444" s="18"/>
      <c r="N444" s="151"/>
      <c r="P444" s="20"/>
    </row>
    <row r="445">
      <c r="E445" s="151"/>
      <c r="F445" s="151"/>
      <c r="G445" s="18"/>
      <c r="K445" s="18"/>
      <c r="M445" s="18"/>
      <c r="N445" s="151"/>
      <c r="P445" s="20"/>
    </row>
    <row r="446">
      <c r="E446" s="151"/>
      <c r="F446" s="151"/>
      <c r="G446" s="18"/>
      <c r="K446" s="18"/>
      <c r="M446" s="18"/>
      <c r="N446" s="151"/>
      <c r="P446" s="20"/>
    </row>
    <row r="447">
      <c r="E447" s="151"/>
      <c r="F447" s="151"/>
      <c r="G447" s="18"/>
      <c r="K447" s="18"/>
      <c r="M447" s="18"/>
      <c r="N447" s="151"/>
      <c r="P447" s="20"/>
    </row>
    <row r="448">
      <c r="E448" s="151"/>
      <c r="F448" s="151"/>
      <c r="G448" s="18"/>
      <c r="K448" s="18"/>
      <c r="M448" s="18"/>
      <c r="N448" s="151"/>
      <c r="P448" s="20"/>
    </row>
    <row r="449">
      <c r="E449" s="151"/>
      <c r="F449" s="151"/>
      <c r="G449" s="18"/>
      <c r="K449" s="18"/>
      <c r="M449" s="18"/>
      <c r="N449" s="151"/>
      <c r="P449" s="20"/>
    </row>
    <row r="450">
      <c r="E450" s="151"/>
      <c r="F450" s="151"/>
      <c r="G450" s="18"/>
      <c r="K450" s="18"/>
      <c r="M450" s="18"/>
      <c r="N450" s="151"/>
      <c r="P450" s="20"/>
    </row>
    <row r="451">
      <c r="E451" s="151"/>
      <c r="F451" s="151"/>
      <c r="G451" s="18"/>
      <c r="K451" s="18"/>
      <c r="M451" s="18"/>
      <c r="N451" s="151"/>
      <c r="P451" s="20"/>
    </row>
    <row r="452">
      <c r="E452" s="151"/>
      <c r="F452" s="151"/>
      <c r="G452" s="18"/>
      <c r="K452" s="18"/>
      <c r="M452" s="18"/>
      <c r="N452" s="151"/>
      <c r="P452" s="20"/>
    </row>
    <row r="453">
      <c r="E453" s="151"/>
      <c r="F453" s="151"/>
      <c r="G453" s="18"/>
      <c r="K453" s="18"/>
      <c r="M453" s="18"/>
      <c r="N453" s="151"/>
      <c r="P453" s="20"/>
    </row>
    <row r="454">
      <c r="E454" s="151"/>
      <c r="F454" s="151"/>
      <c r="G454" s="18"/>
      <c r="K454" s="18"/>
      <c r="M454" s="18"/>
      <c r="N454" s="151"/>
      <c r="P454" s="20"/>
    </row>
    <row r="455">
      <c r="E455" s="151"/>
      <c r="F455" s="151"/>
      <c r="G455" s="18"/>
      <c r="K455" s="18"/>
      <c r="M455" s="18"/>
      <c r="N455" s="151"/>
      <c r="P455" s="20"/>
    </row>
    <row r="456">
      <c r="E456" s="151"/>
      <c r="F456" s="151"/>
      <c r="G456" s="18"/>
      <c r="K456" s="18"/>
      <c r="M456" s="18"/>
      <c r="N456" s="151"/>
      <c r="P456" s="20"/>
    </row>
    <row r="457">
      <c r="E457" s="151"/>
      <c r="F457" s="151"/>
      <c r="G457" s="18"/>
      <c r="K457" s="18"/>
      <c r="M457" s="18"/>
      <c r="N457" s="151"/>
      <c r="P457" s="20"/>
    </row>
    <row r="458">
      <c r="E458" s="151"/>
      <c r="F458" s="151"/>
      <c r="G458" s="18"/>
      <c r="K458" s="18"/>
      <c r="M458" s="18"/>
      <c r="N458" s="151"/>
      <c r="P458" s="20"/>
    </row>
    <row r="459">
      <c r="E459" s="151"/>
      <c r="F459" s="151"/>
      <c r="G459" s="18"/>
      <c r="K459" s="18"/>
      <c r="M459" s="18"/>
      <c r="N459" s="151"/>
      <c r="P459" s="20"/>
    </row>
    <row r="460">
      <c r="E460" s="151"/>
      <c r="F460" s="151"/>
      <c r="G460" s="18"/>
      <c r="K460" s="18"/>
      <c r="M460" s="18"/>
      <c r="N460" s="151"/>
      <c r="P460" s="20"/>
    </row>
    <row r="461">
      <c r="E461" s="151"/>
      <c r="F461" s="151"/>
      <c r="G461" s="18"/>
      <c r="K461" s="18"/>
      <c r="M461" s="18"/>
      <c r="N461" s="151"/>
      <c r="P461" s="20"/>
    </row>
    <row r="462">
      <c r="E462" s="151"/>
      <c r="F462" s="151"/>
      <c r="G462" s="18"/>
      <c r="K462" s="18"/>
      <c r="M462" s="18"/>
      <c r="N462" s="151"/>
      <c r="P462" s="20"/>
    </row>
    <row r="463">
      <c r="E463" s="151"/>
      <c r="F463" s="151"/>
      <c r="G463" s="18"/>
      <c r="K463" s="18"/>
      <c r="M463" s="18"/>
      <c r="N463" s="151"/>
      <c r="P463" s="20"/>
    </row>
    <row r="464">
      <c r="E464" s="151"/>
      <c r="F464" s="151"/>
      <c r="G464" s="18"/>
      <c r="K464" s="18"/>
      <c r="M464" s="18"/>
      <c r="N464" s="151"/>
      <c r="P464" s="20"/>
    </row>
    <row r="465">
      <c r="E465" s="151"/>
      <c r="F465" s="151"/>
      <c r="G465" s="18"/>
      <c r="K465" s="18"/>
      <c r="M465" s="18"/>
      <c r="N465" s="151"/>
      <c r="P465" s="20"/>
    </row>
    <row r="466">
      <c r="E466" s="151"/>
      <c r="F466" s="151"/>
      <c r="G466" s="18"/>
      <c r="K466" s="18"/>
      <c r="M466" s="18"/>
      <c r="N466" s="151"/>
      <c r="P466" s="20"/>
    </row>
    <row r="467">
      <c r="E467" s="151"/>
      <c r="F467" s="151"/>
      <c r="G467" s="18"/>
      <c r="K467" s="18"/>
      <c r="M467" s="18"/>
      <c r="N467" s="151"/>
      <c r="P467" s="20"/>
    </row>
    <row r="468">
      <c r="E468" s="151"/>
      <c r="F468" s="151"/>
      <c r="G468" s="18"/>
      <c r="K468" s="18"/>
      <c r="M468" s="18"/>
      <c r="N468" s="151"/>
      <c r="P468" s="20"/>
    </row>
    <row r="469">
      <c r="E469" s="151"/>
      <c r="F469" s="151"/>
      <c r="G469" s="18"/>
      <c r="K469" s="18"/>
      <c r="M469" s="18"/>
      <c r="N469" s="151"/>
      <c r="P469" s="20"/>
    </row>
    <row r="470">
      <c r="E470" s="151"/>
      <c r="F470" s="151"/>
      <c r="G470" s="18"/>
      <c r="K470" s="18"/>
      <c r="M470" s="18"/>
      <c r="N470" s="151"/>
      <c r="P470" s="20"/>
    </row>
    <row r="471">
      <c r="E471" s="151"/>
      <c r="F471" s="151"/>
      <c r="G471" s="18"/>
      <c r="K471" s="18"/>
      <c r="M471" s="18"/>
      <c r="N471" s="151"/>
      <c r="P471" s="20"/>
    </row>
    <row r="472">
      <c r="E472" s="151"/>
      <c r="F472" s="151"/>
      <c r="G472" s="18"/>
      <c r="K472" s="18"/>
      <c r="M472" s="18"/>
      <c r="N472" s="151"/>
      <c r="P472" s="20"/>
    </row>
    <row r="473">
      <c r="E473" s="151"/>
      <c r="F473" s="151"/>
      <c r="G473" s="18"/>
      <c r="K473" s="18"/>
      <c r="M473" s="18"/>
      <c r="N473" s="151"/>
      <c r="P473" s="20"/>
    </row>
    <row r="474">
      <c r="E474" s="151"/>
      <c r="F474" s="151"/>
      <c r="G474" s="18"/>
      <c r="K474" s="18"/>
      <c r="M474" s="18"/>
      <c r="N474" s="151"/>
      <c r="P474" s="20"/>
    </row>
    <row r="475">
      <c r="E475" s="151"/>
      <c r="F475" s="151"/>
      <c r="G475" s="18"/>
      <c r="K475" s="18"/>
      <c r="M475" s="18"/>
      <c r="N475" s="151"/>
      <c r="P475" s="20"/>
    </row>
    <row r="476">
      <c r="E476" s="151"/>
      <c r="F476" s="151"/>
      <c r="G476" s="18"/>
      <c r="K476" s="18"/>
      <c r="M476" s="18"/>
      <c r="N476" s="151"/>
      <c r="P476" s="20"/>
    </row>
    <row r="477">
      <c r="E477" s="151"/>
      <c r="F477" s="151"/>
      <c r="G477" s="18"/>
      <c r="K477" s="18"/>
      <c r="M477" s="18"/>
      <c r="N477" s="151"/>
      <c r="P477" s="20"/>
    </row>
    <row r="478">
      <c r="E478" s="151"/>
      <c r="F478" s="151"/>
      <c r="G478" s="18"/>
      <c r="K478" s="18"/>
      <c r="M478" s="18"/>
      <c r="N478" s="151"/>
      <c r="P478" s="20"/>
    </row>
    <row r="479">
      <c r="E479" s="151"/>
      <c r="F479" s="151"/>
      <c r="G479" s="18"/>
      <c r="K479" s="18"/>
      <c r="M479" s="18"/>
      <c r="N479" s="151"/>
      <c r="P479" s="20"/>
    </row>
    <row r="480">
      <c r="E480" s="151"/>
      <c r="F480" s="151"/>
      <c r="G480" s="18"/>
      <c r="K480" s="18"/>
      <c r="M480" s="18"/>
      <c r="N480" s="151"/>
      <c r="P480" s="20"/>
    </row>
    <row r="481">
      <c r="E481" s="151"/>
      <c r="F481" s="151"/>
      <c r="G481" s="18"/>
      <c r="K481" s="18"/>
      <c r="M481" s="18"/>
      <c r="N481" s="151"/>
      <c r="P481" s="20"/>
    </row>
    <row r="482">
      <c r="E482" s="151"/>
      <c r="F482" s="151"/>
      <c r="G482" s="18"/>
      <c r="K482" s="18"/>
      <c r="M482" s="18"/>
      <c r="N482" s="151"/>
      <c r="P482" s="20"/>
    </row>
    <row r="483">
      <c r="E483" s="151"/>
      <c r="F483" s="151"/>
      <c r="G483" s="18"/>
      <c r="K483" s="18"/>
      <c r="M483" s="18"/>
      <c r="N483" s="151"/>
      <c r="P483" s="20"/>
    </row>
    <row r="484">
      <c r="E484" s="151"/>
      <c r="F484" s="151"/>
      <c r="G484" s="18"/>
      <c r="K484" s="18"/>
      <c r="M484" s="18"/>
      <c r="N484" s="151"/>
      <c r="P484" s="20"/>
    </row>
    <row r="485">
      <c r="E485" s="151"/>
      <c r="F485" s="151"/>
      <c r="G485" s="18"/>
      <c r="K485" s="18"/>
      <c r="M485" s="18"/>
      <c r="N485" s="151"/>
      <c r="P485" s="20"/>
    </row>
    <row r="486">
      <c r="E486" s="151"/>
      <c r="F486" s="151"/>
      <c r="G486" s="18"/>
      <c r="K486" s="18"/>
      <c r="M486" s="18"/>
      <c r="N486" s="151"/>
      <c r="P486" s="20"/>
    </row>
    <row r="487">
      <c r="E487" s="151"/>
      <c r="F487" s="151"/>
      <c r="G487" s="18"/>
      <c r="K487" s="18"/>
      <c r="M487" s="18"/>
      <c r="N487" s="151"/>
      <c r="P487" s="20"/>
    </row>
    <row r="488">
      <c r="E488" s="151"/>
      <c r="F488" s="151"/>
      <c r="G488" s="18"/>
      <c r="K488" s="18"/>
      <c r="M488" s="18"/>
      <c r="N488" s="151"/>
      <c r="P488" s="20"/>
    </row>
    <row r="489">
      <c r="E489" s="151"/>
      <c r="F489" s="151"/>
      <c r="G489" s="18"/>
      <c r="K489" s="18"/>
      <c r="M489" s="18"/>
      <c r="N489" s="151"/>
      <c r="P489" s="20"/>
    </row>
    <row r="490">
      <c r="E490" s="151"/>
      <c r="F490" s="151"/>
      <c r="G490" s="18"/>
      <c r="K490" s="18"/>
      <c r="M490" s="18"/>
      <c r="N490" s="151"/>
      <c r="P490" s="20"/>
    </row>
    <row r="491">
      <c r="E491" s="151"/>
      <c r="F491" s="151"/>
      <c r="G491" s="18"/>
      <c r="K491" s="18"/>
      <c r="M491" s="18"/>
      <c r="N491" s="151"/>
      <c r="P491" s="20"/>
    </row>
    <row r="492">
      <c r="E492" s="151"/>
      <c r="F492" s="151"/>
      <c r="G492" s="18"/>
      <c r="K492" s="18"/>
      <c r="M492" s="18"/>
      <c r="N492" s="151"/>
      <c r="P492" s="20"/>
    </row>
    <row r="493">
      <c r="E493" s="151"/>
      <c r="F493" s="151"/>
      <c r="G493" s="18"/>
      <c r="K493" s="18"/>
      <c r="M493" s="18"/>
      <c r="N493" s="151"/>
      <c r="P493" s="20"/>
    </row>
    <row r="494">
      <c r="E494" s="151"/>
      <c r="F494" s="151"/>
      <c r="G494" s="18"/>
      <c r="K494" s="18"/>
      <c r="M494" s="18"/>
      <c r="N494" s="151"/>
      <c r="P494" s="20"/>
    </row>
    <row r="495">
      <c r="E495" s="151"/>
      <c r="F495" s="151"/>
      <c r="G495" s="18"/>
      <c r="K495" s="18"/>
      <c r="M495" s="18"/>
      <c r="N495" s="151"/>
      <c r="P495" s="20"/>
    </row>
    <row r="496">
      <c r="E496" s="151"/>
      <c r="F496" s="151"/>
      <c r="G496" s="18"/>
      <c r="K496" s="18"/>
      <c r="M496" s="18"/>
      <c r="N496" s="151"/>
      <c r="P496" s="20"/>
    </row>
    <row r="497">
      <c r="E497" s="151"/>
      <c r="F497" s="151"/>
      <c r="G497" s="18"/>
      <c r="K497" s="18"/>
      <c r="M497" s="18"/>
      <c r="N497" s="151"/>
      <c r="P497" s="20"/>
    </row>
    <row r="498">
      <c r="E498" s="151"/>
      <c r="F498" s="151"/>
      <c r="G498" s="18"/>
      <c r="K498" s="18"/>
      <c r="M498" s="18"/>
      <c r="N498" s="151"/>
      <c r="P498" s="20"/>
    </row>
    <row r="499">
      <c r="E499" s="151"/>
      <c r="F499" s="151"/>
      <c r="G499" s="18"/>
      <c r="K499" s="18"/>
      <c r="M499" s="18"/>
      <c r="N499" s="151"/>
      <c r="P499" s="20"/>
    </row>
    <row r="500">
      <c r="E500" s="151"/>
      <c r="F500" s="151"/>
      <c r="G500" s="18"/>
      <c r="K500" s="18"/>
      <c r="M500" s="18"/>
      <c r="N500" s="151"/>
      <c r="P500" s="20"/>
    </row>
    <row r="501">
      <c r="E501" s="151"/>
      <c r="F501" s="151"/>
      <c r="G501" s="18"/>
      <c r="K501" s="18"/>
      <c r="M501" s="18"/>
      <c r="N501" s="151"/>
      <c r="P501" s="20"/>
    </row>
    <row r="502">
      <c r="E502" s="151"/>
      <c r="F502" s="151"/>
      <c r="G502" s="18"/>
      <c r="K502" s="18"/>
      <c r="M502" s="18"/>
      <c r="N502" s="151"/>
      <c r="P502" s="20"/>
    </row>
    <row r="503">
      <c r="E503" s="151"/>
      <c r="F503" s="151"/>
      <c r="G503" s="18"/>
      <c r="K503" s="18"/>
      <c r="M503" s="18"/>
      <c r="N503" s="151"/>
      <c r="P503" s="20"/>
    </row>
    <row r="504">
      <c r="E504" s="151"/>
      <c r="F504" s="151"/>
      <c r="G504" s="18"/>
      <c r="K504" s="18"/>
      <c r="M504" s="18"/>
      <c r="N504" s="151"/>
      <c r="P504" s="20"/>
    </row>
    <row r="505">
      <c r="E505" s="151"/>
      <c r="F505" s="151"/>
      <c r="G505" s="18"/>
      <c r="K505" s="18"/>
      <c r="M505" s="18"/>
      <c r="N505" s="151"/>
      <c r="P505" s="20"/>
    </row>
    <row r="506">
      <c r="E506" s="151"/>
      <c r="F506" s="151"/>
      <c r="G506" s="18"/>
      <c r="K506" s="18"/>
      <c r="M506" s="18"/>
      <c r="N506" s="151"/>
      <c r="P506" s="20"/>
    </row>
    <row r="507">
      <c r="E507" s="151"/>
      <c r="F507" s="151"/>
      <c r="G507" s="18"/>
      <c r="K507" s="18"/>
      <c r="M507" s="18"/>
      <c r="N507" s="151"/>
      <c r="P507" s="20"/>
    </row>
    <row r="508">
      <c r="E508" s="151"/>
      <c r="F508" s="151"/>
      <c r="G508" s="18"/>
      <c r="K508" s="18"/>
      <c r="M508" s="18"/>
      <c r="N508" s="151"/>
      <c r="P508" s="20"/>
    </row>
    <row r="509">
      <c r="E509" s="151"/>
      <c r="F509" s="151"/>
      <c r="G509" s="18"/>
      <c r="K509" s="18"/>
      <c r="M509" s="18"/>
      <c r="N509" s="151"/>
      <c r="P509" s="20"/>
    </row>
    <row r="510">
      <c r="E510" s="151"/>
      <c r="F510" s="151"/>
      <c r="G510" s="18"/>
      <c r="K510" s="18"/>
      <c r="M510" s="18"/>
      <c r="N510" s="151"/>
      <c r="P510" s="20"/>
    </row>
    <row r="511">
      <c r="E511" s="151"/>
      <c r="F511" s="151"/>
      <c r="G511" s="18"/>
      <c r="K511" s="18"/>
      <c r="M511" s="18"/>
      <c r="N511" s="151"/>
      <c r="P511" s="20"/>
    </row>
    <row r="512">
      <c r="E512" s="151"/>
      <c r="F512" s="151"/>
      <c r="G512" s="18"/>
      <c r="K512" s="18"/>
      <c r="M512" s="18"/>
      <c r="N512" s="151"/>
      <c r="P512" s="20"/>
    </row>
    <row r="513">
      <c r="E513" s="151"/>
      <c r="F513" s="151"/>
      <c r="G513" s="18"/>
      <c r="K513" s="18"/>
      <c r="M513" s="18"/>
      <c r="N513" s="151"/>
      <c r="P513" s="20"/>
    </row>
    <row r="514">
      <c r="E514" s="151"/>
      <c r="F514" s="151"/>
      <c r="G514" s="18"/>
      <c r="K514" s="18"/>
      <c r="M514" s="18"/>
      <c r="N514" s="151"/>
      <c r="P514" s="20"/>
    </row>
    <row r="515">
      <c r="E515" s="151"/>
      <c r="F515" s="151"/>
      <c r="G515" s="18"/>
      <c r="K515" s="18"/>
      <c r="M515" s="18"/>
      <c r="N515" s="151"/>
      <c r="P515" s="20"/>
    </row>
    <row r="516">
      <c r="E516" s="151"/>
      <c r="F516" s="151"/>
      <c r="G516" s="18"/>
      <c r="K516" s="18"/>
      <c r="M516" s="18"/>
      <c r="N516" s="151"/>
      <c r="P516" s="20"/>
    </row>
    <row r="517">
      <c r="E517" s="151"/>
      <c r="F517" s="151"/>
      <c r="G517" s="18"/>
      <c r="K517" s="18"/>
      <c r="M517" s="18"/>
      <c r="N517" s="151"/>
      <c r="P517" s="20"/>
    </row>
    <row r="518">
      <c r="E518" s="151"/>
      <c r="F518" s="151"/>
      <c r="G518" s="18"/>
      <c r="K518" s="18"/>
      <c r="M518" s="18"/>
      <c r="N518" s="151"/>
      <c r="P518" s="20"/>
    </row>
    <row r="519">
      <c r="E519" s="151"/>
      <c r="F519" s="151"/>
      <c r="G519" s="18"/>
      <c r="K519" s="18"/>
      <c r="M519" s="18"/>
      <c r="N519" s="151"/>
      <c r="P519" s="20"/>
    </row>
    <row r="520">
      <c r="E520" s="151"/>
      <c r="F520" s="151"/>
      <c r="G520" s="18"/>
      <c r="K520" s="18"/>
      <c r="M520" s="18"/>
      <c r="N520" s="151"/>
      <c r="P520" s="20"/>
    </row>
    <row r="521">
      <c r="E521" s="151"/>
      <c r="F521" s="151"/>
      <c r="G521" s="18"/>
      <c r="K521" s="18"/>
      <c r="M521" s="18"/>
      <c r="N521" s="151"/>
      <c r="P521" s="20"/>
    </row>
    <row r="522">
      <c r="E522" s="151"/>
      <c r="F522" s="151"/>
      <c r="G522" s="18"/>
      <c r="K522" s="18"/>
      <c r="M522" s="18"/>
      <c r="N522" s="151"/>
      <c r="P522" s="20"/>
    </row>
    <row r="523">
      <c r="E523" s="151"/>
      <c r="F523" s="151"/>
      <c r="G523" s="18"/>
      <c r="K523" s="18"/>
      <c r="M523" s="18"/>
      <c r="N523" s="151"/>
      <c r="P523" s="20"/>
    </row>
    <row r="524">
      <c r="E524" s="151"/>
      <c r="F524" s="151"/>
      <c r="G524" s="18"/>
      <c r="K524" s="18"/>
      <c r="M524" s="18"/>
      <c r="N524" s="151"/>
      <c r="P524" s="20"/>
    </row>
    <row r="525">
      <c r="E525" s="151"/>
      <c r="F525" s="151"/>
      <c r="G525" s="18"/>
      <c r="K525" s="18"/>
      <c r="M525" s="18"/>
      <c r="N525" s="151"/>
      <c r="P525" s="20"/>
    </row>
    <row r="526">
      <c r="E526" s="151"/>
      <c r="F526" s="151"/>
      <c r="G526" s="18"/>
      <c r="K526" s="18"/>
      <c r="M526" s="18"/>
      <c r="N526" s="151"/>
      <c r="P526" s="20"/>
    </row>
    <row r="527">
      <c r="E527" s="151"/>
      <c r="F527" s="151"/>
      <c r="G527" s="18"/>
      <c r="K527" s="18"/>
      <c r="M527" s="18"/>
      <c r="N527" s="151"/>
      <c r="P527" s="20"/>
    </row>
    <row r="528">
      <c r="E528" s="151"/>
      <c r="F528" s="151"/>
      <c r="G528" s="18"/>
      <c r="K528" s="18"/>
      <c r="M528" s="18"/>
      <c r="N528" s="151"/>
      <c r="P528" s="20"/>
    </row>
    <row r="529">
      <c r="E529" s="151"/>
      <c r="F529" s="151"/>
      <c r="G529" s="18"/>
      <c r="K529" s="18"/>
      <c r="M529" s="18"/>
      <c r="N529" s="151"/>
      <c r="P529" s="20"/>
    </row>
    <row r="530">
      <c r="E530" s="151"/>
      <c r="F530" s="151"/>
      <c r="G530" s="18"/>
      <c r="K530" s="18"/>
      <c r="M530" s="18"/>
      <c r="N530" s="151"/>
      <c r="P530" s="20"/>
    </row>
    <row r="531">
      <c r="E531" s="151"/>
      <c r="F531" s="151"/>
      <c r="G531" s="18"/>
      <c r="K531" s="18"/>
      <c r="M531" s="18"/>
      <c r="N531" s="151"/>
      <c r="P531" s="20"/>
    </row>
    <row r="532">
      <c r="E532" s="151"/>
      <c r="F532" s="151"/>
      <c r="G532" s="18"/>
      <c r="K532" s="18"/>
      <c r="M532" s="18"/>
      <c r="N532" s="151"/>
      <c r="P532" s="20"/>
    </row>
    <row r="533">
      <c r="E533" s="151"/>
      <c r="F533" s="151"/>
      <c r="G533" s="18"/>
      <c r="K533" s="18"/>
      <c r="M533" s="18"/>
      <c r="N533" s="151"/>
      <c r="P533" s="20"/>
    </row>
    <row r="534">
      <c r="E534" s="151"/>
      <c r="F534" s="151"/>
      <c r="G534" s="18"/>
      <c r="K534" s="18"/>
      <c r="M534" s="18"/>
      <c r="N534" s="151"/>
      <c r="P534" s="20"/>
    </row>
    <row r="535">
      <c r="E535" s="151"/>
      <c r="F535" s="151"/>
      <c r="G535" s="18"/>
      <c r="K535" s="18"/>
      <c r="M535" s="18"/>
      <c r="N535" s="151"/>
      <c r="P535" s="20"/>
    </row>
    <row r="536">
      <c r="E536" s="151"/>
      <c r="F536" s="151"/>
      <c r="G536" s="18"/>
      <c r="K536" s="18"/>
      <c r="M536" s="18"/>
      <c r="N536" s="151"/>
      <c r="P536" s="20"/>
    </row>
    <row r="537">
      <c r="E537" s="151"/>
      <c r="F537" s="151"/>
      <c r="G537" s="18"/>
      <c r="K537" s="18"/>
      <c r="M537" s="18"/>
      <c r="N537" s="151"/>
      <c r="P537" s="20"/>
    </row>
    <row r="538">
      <c r="E538" s="151"/>
      <c r="F538" s="151"/>
      <c r="G538" s="18"/>
      <c r="K538" s="18"/>
      <c r="M538" s="18"/>
      <c r="N538" s="151"/>
      <c r="P538" s="20"/>
    </row>
    <row r="539">
      <c r="E539" s="151"/>
      <c r="F539" s="151"/>
      <c r="G539" s="18"/>
      <c r="K539" s="18"/>
      <c r="M539" s="18"/>
      <c r="N539" s="151"/>
      <c r="P539" s="20"/>
    </row>
    <row r="540">
      <c r="E540" s="151"/>
      <c r="F540" s="151"/>
      <c r="G540" s="18"/>
      <c r="K540" s="18"/>
      <c r="M540" s="18"/>
      <c r="N540" s="151"/>
      <c r="P540" s="20"/>
    </row>
    <row r="541">
      <c r="E541" s="151"/>
      <c r="F541" s="151"/>
      <c r="G541" s="18"/>
      <c r="K541" s="18"/>
      <c r="M541" s="18"/>
      <c r="N541" s="151"/>
      <c r="P541" s="20"/>
    </row>
    <row r="542">
      <c r="E542" s="151"/>
      <c r="F542" s="151"/>
      <c r="G542" s="18"/>
      <c r="K542" s="18"/>
      <c r="M542" s="18"/>
      <c r="N542" s="151"/>
      <c r="P542" s="20"/>
    </row>
    <row r="543">
      <c r="E543" s="151"/>
      <c r="F543" s="151"/>
      <c r="G543" s="18"/>
      <c r="K543" s="18"/>
      <c r="M543" s="18"/>
      <c r="N543" s="151"/>
      <c r="P543" s="20"/>
    </row>
    <row r="544">
      <c r="E544" s="151"/>
      <c r="F544" s="151"/>
      <c r="G544" s="18"/>
      <c r="K544" s="18"/>
      <c r="M544" s="18"/>
      <c r="N544" s="151"/>
      <c r="P544" s="20"/>
    </row>
    <row r="545">
      <c r="E545" s="151"/>
      <c r="F545" s="151"/>
      <c r="G545" s="18"/>
      <c r="K545" s="18"/>
      <c r="M545" s="18"/>
      <c r="N545" s="151"/>
      <c r="P545" s="20"/>
    </row>
    <row r="546">
      <c r="E546" s="151"/>
      <c r="F546" s="151"/>
      <c r="G546" s="18"/>
      <c r="K546" s="18"/>
      <c r="M546" s="18"/>
      <c r="N546" s="151"/>
      <c r="P546" s="20"/>
    </row>
    <row r="547">
      <c r="E547" s="151"/>
      <c r="F547" s="151"/>
      <c r="G547" s="18"/>
      <c r="K547" s="18"/>
      <c r="M547" s="18"/>
      <c r="N547" s="151"/>
      <c r="P547" s="20"/>
    </row>
    <row r="548">
      <c r="E548" s="151"/>
      <c r="F548" s="151"/>
      <c r="G548" s="18"/>
      <c r="K548" s="18"/>
      <c r="M548" s="18"/>
      <c r="N548" s="151"/>
      <c r="P548" s="20"/>
    </row>
    <row r="549">
      <c r="E549" s="151"/>
      <c r="F549" s="151"/>
      <c r="G549" s="18"/>
      <c r="K549" s="18"/>
      <c r="M549" s="18"/>
      <c r="N549" s="151"/>
      <c r="P549" s="20"/>
    </row>
    <row r="550">
      <c r="E550" s="151"/>
      <c r="F550" s="151"/>
      <c r="G550" s="18"/>
      <c r="K550" s="18"/>
      <c r="M550" s="18"/>
      <c r="N550" s="151"/>
      <c r="P550" s="20"/>
    </row>
    <row r="551">
      <c r="E551" s="151"/>
      <c r="F551" s="151"/>
      <c r="G551" s="18"/>
      <c r="K551" s="18"/>
      <c r="M551" s="18"/>
      <c r="N551" s="151"/>
      <c r="P551" s="20"/>
    </row>
    <row r="552">
      <c r="E552" s="151"/>
      <c r="F552" s="151"/>
      <c r="G552" s="18"/>
      <c r="K552" s="18"/>
      <c r="M552" s="18"/>
      <c r="N552" s="151"/>
      <c r="P552" s="20"/>
    </row>
    <row r="553">
      <c r="E553" s="151"/>
      <c r="F553" s="151"/>
      <c r="G553" s="18"/>
      <c r="K553" s="18"/>
      <c r="M553" s="18"/>
      <c r="N553" s="151"/>
      <c r="P553" s="20"/>
    </row>
    <row r="554">
      <c r="E554" s="151"/>
      <c r="F554" s="151"/>
      <c r="G554" s="18"/>
      <c r="K554" s="18"/>
      <c r="M554" s="18"/>
      <c r="N554" s="151"/>
      <c r="P554" s="20"/>
    </row>
    <row r="555">
      <c r="E555" s="151"/>
      <c r="F555" s="151"/>
      <c r="G555" s="18"/>
      <c r="K555" s="18"/>
      <c r="M555" s="18"/>
      <c r="N555" s="151"/>
      <c r="P555" s="20"/>
    </row>
    <row r="556">
      <c r="E556" s="151"/>
      <c r="F556" s="151"/>
      <c r="G556" s="18"/>
      <c r="K556" s="18"/>
      <c r="M556" s="18"/>
      <c r="N556" s="151"/>
      <c r="P556" s="20"/>
    </row>
    <row r="557">
      <c r="E557" s="151"/>
      <c r="F557" s="151"/>
      <c r="G557" s="18"/>
      <c r="K557" s="18"/>
      <c r="M557" s="18"/>
      <c r="N557" s="151"/>
      <c r="P557" s="20"/>
    </row>
    <row r="558">
      <c r="E558" s="151"/>
      <c r="F558" s="151"/>
      <c r="G558" s="18"/>
      <c r="K558" s="18"/>
      <c r="M558" s="18"/>
      <c r="N558" s="151"/>
      <c r="P558" s="20"/>
    </row>
    <row r="559">
      <c r="E559" s="151"/>
      <c r="F559" s="151"/>
      <c r="G559" s="18"/>
      <c r="K559" s="18"/>
      <c r="M559" s="18"/>
      <c r="N559" s="151"/>
      <c r="P559" s="20"/>
    </row>
    <row r="560">
      <c r="E560" s="151"/>
      <c r="F560" s="151"/>
      <c r="G560" s="18"/>
      <c r="K560" s="18"/>
      <c r="M560" s="18"/>
      <c r="N560" s="151"/>
      <c r="P560" s="20"/>
    </row>
    <row r="561">
      <c r="E561" s="151"/>
      <c r="F561" s="151"/>
      <c r="G561" s="18"/>
      <c r="K561" s="18"/>
      <c r="M561" s="18"/>
      <c r="N561" s="151"/>
      <c r="P561" s="20"/>
    </row>
    <row r="562">
      <c r="E562" s="151"/>
      <c r="F562" s="151"/>
      <c r="G562" s="18"/>
      <c r="K562" s="18"/>
      <c r="M562" s="18"/>
      <c r="N562" s="151"/>
      <c r="P562" s="20"/>
    </row>
    <row r="563">
      <c r="E563" s="151"/>
      <c r="F563" s="151"/>
      <c r="G563" s="18"/>
      <c r="K563" s="18"/>
      <c r="M563" s="18"/>
      <c r="N563" s="151"/>
      <c r="P563" s="20"/>
    </row>
    <row r="564">
      <c r="E564" s="151"/>
      <c r="F564" s="151"/>
      <c r="G564" s="18"/>
      <c r="K564" s="18"/>
      <c r="M564" s="18"/>
      <c r="N564" s="151"/>
      <c r="P564" s="20"/>
    </row>
    <row r="565">
      <c r="E565" s="151"/>
      <c r="F565" s="151"/>
      <c r="G565" s="18"/>
      <c r="K565" s="18"/>
      <c r="M565" s="18"/>
      <c r="N565" s="151"/>
      <c r="P565" s="20"/>
    </row>
    <row r="566">
      <c r="E566" s="151"/>
      <c r="F566" s="151"/>
      <c r="G566" s="18"/>
      <c r="K566" s="18"/>
      <c r="M566" s="18"/>
      <c r="N566" s="151"/>
      <c r="P566" s="20"/>
    </row>
    <row r="567">
      <c r="E567" s="151"/>
      <c r="F567" s="151"/>
      <c r="G567" s="18"/>
      <c r="K567" s="18"/>
      <c r="M567" s="18"/>
      <c r="N567" s="151"/>
      <c r="P567" s="20"/>
    </row>
    <row r="568">
      <c r="E568" s="151"/>
      <c r="F568" s="151"/>
      <c r="G568" s="18"/>
      <c r="K568" s="18"/>
      <c r="M568" s="18"/>
      <c r="N568" s="151"/>
      <c r="P568" s="20"/>
    </row>
    <row r="569">
      <c r="E569" s="151"/>
      <c r="F569" s="151"/>
      <c r="G569" s="18"/>
      <c r="K569" s="18"/>
      <c r="M569" s="18"/>
      <c r="N569" s="151"/>
      <c r="P569" s="20"/>
    </row>
    <row r="570">
      <c r="E570" s="151"/>
      <c r="F570" s="151"/>
      <c r="G570" s="18"/>
      <c r="K570" s="18"/>
      <c r="M570" s="18"/>
      <c r="N570" s="151"/>
      <c r="P570" s="20"/>
    </row>
    <row r="571">
      <c r="E571" s="151"/>
      <c r="F571" s="151"/>
      <c r="G571" s="18"/>
      <c r="K571" s="18"/>
      <c r="M571" s="18"/>
      <c r="N571" s="151"/>
      <c r="P571" s="20"/>
    </row>
    <row r="572">
      <c r="E572" s="151"/>
      <c r="F572" s="151"/>
      <c r="G572" s="18"/>
      <c r="K572" s="18"/>
      <c r="M572" s="18"/>
      <c r="N572" s="151"/>
      <c r="P572" s="20"/>
    </row>
    <row r="573">
      <c r="E573" s="151"/>
      <c r="F573" s="151"/>
      <c r="G573" s="18"/>
      <c r="K573" s="18"/>
      <c r="M573" s="18"/>
      <c r="N573" s="151"/>
      <c r="P573" s="20"/>
    </row>
    <row r="574">
      <c r="E574" s="151"/>
      <c r="F574" s="151"/>
      <c r="G574" s="18"/>
      <c r="K574" s="18"/>
      <c r="M574" s="18"/>
      <c r="N574" s="151"/>
      <c r="P574" s="20"/>
    </row>
    <row r="575">
      <c r="E575" s="151"/>
      <c r="F575" s="151"/>
      <c r="G575" s="18"/>
      <c r="K575" s="18"/>
      <c r="M575" s="18"/>
      <c r="N575" s="151"/>
      <c r="P575" s="20"/>
    </row>
    <row r="576">
      <c r="E576" s="151"/>
      <c r="F576" s="151"/>
      <c r="G576" s="18"/>
      <c r="K576" s="18"/>
      <c r="M576" s="18"/>
      <c r="N576" s="151"/>
      <c r="P576" s="20"/>
    </row>
    <row r="577">
      <c r="E577" s="151"/>
      <c r="F577" s="151"/>
      <c r="G577" s="18"/>
      <c r="K577" s="18"/>
      <c r="M577" s="18"/>
      <c r="N577" s="151"/>
      <c r="P577" s="20"/>
    </row>
    <row r="578">
      <c r="E578" s="151"/>
      <c r="F578" s="151"/>
      <c r="G578" s="18"/>
      <c r="K578" s="18"/>
      <c r="M578" s="18"/>
      <c r="N578" s="151"/>
      <c r="P578" s="20"/>
    </row>
    <row r="579">
      <c r="E579" s="151"/>
      <c r="F579" s="151"/>
      <c r="G579" s="18"/>
      <c r="K579" s="18"/>
      <c r="M579" s="18"/>
      <c r="N579" s="151"/>
      <c r="P579" s="20"/>
    </row>
    <row r="580">
      <c r="E580" s="151"/>
      <c r="F580" s="151"/>
      <c r="G580" s="18"/>
      <c r="K580" s="18"/>
      <c r="M580" s="18"/>
      <c r="N580" s="151"/>
      <c r="P580" s="20"/>
    </row>
    <row r="581">
      <c r="E581" s="151"/>
      <c r="F581" s="151"/>
      <c r="G581" s="18"/>
      <c r="K581" s="18"/>
      <c r="M581" s="18"/>
      <c r="N581" s="151"/>
      <c r="P581" s="20"/>
    </row>
    <row r="582">
      <c r="E582" s="151"/>
      <c r="F582" s="151"/>
      <c r="G582" s="18"/>
      <c r="K582" s="18"/>
      <c r="M582" s="18"/>
      <c r="N582" s="151"/>
      <c r="P582" s="20"/>
    </row>
    <row r="583">
      <c r="E583" s="151"/>
      <c r="F583" s="151"/>
      <c r="G583" s="18"/>
      <c r="K583" s="18"/>
      <c r="M583" s="18"/>
      <c r="N583" s="151"/>
      <c r="P583" s="20"/>
    </row>
    <row r="584">
      <c r="E584" s="151"/>
      <c r="F584" s="151"/>
      <c r="G584" s="18"/>
      <c r="K584" s="18"/>
      <c r="M584" s="18"/>
      <c r="N584" s="151"/>
      <c r="P584" s="20"/>
    </row>
    <row r="585">
      <c r="E585" s="151"/>
      <c r="F585" s="151"/>
      <c r="G585" s="18"/>
      <c r="K585" s="18"/>
      <c r="M585" s="18"/>
      <c r="N585" s="151"/>
      <c r="P585" s="20"/>
    </row>
    <row r="586">
      <c r="E586" s="151"/>
      <c r="F586" s="151"/>
      <c r="G586" s="18"/>
      <c r="K586" s="18"/>
      <c r="M586" s="18"/>
      <c r="N586" s="151"/>
      <c r="P586" s="20"/>
    </row>
    <row r="587">
      <c r="E587" s="151"/>
      <c r="F587" s="151"/>
      <c r="G587" s="18"/>
      <c r="K587" s="18"/>
      <c r="M587" s="18"/>
      <c r="N587" s="151"/>
      <c r="P587" s="20"/>
    </row>
    <row r="588">
      <c r="E588" s="151"/>
      <c r="F588" s="151"/>
      <c r="G588" s="18"/>
      <c r="K588" s="18"/>
      <c r="M588" s="18"/>
      <c r="N588" s="151"/>
      <c r="P588" s="20"/>
    </row>
    <row r="589">
      <c r="E589" s="151"/>
      <c r="F589" s="151"/>
      <c r="G589" s="18"/>
      <c r="K589" s="18"/>
      <c r="M589" s="18"/>
      <c r="N589" s="151"/>
      <c r="P589" s="20"/>
    </row>
    <row r="590">
      <c r="E590" s="151"/>
      <c r="F590" s="151"/>
      <c r="G590" s="18"/>
      <c r="K590" s="18"/>
      <c r="M590" s="18"/>
      <c r="N590" s="151"/>
      <c r="P590" s="20"/>
    </row>
    <row r="591">
      <c r="E591" s="151"/>
      <c r="F591" s="151"/>
      <c r="G591" s="18"/>
      <c r="K591" s="18"/>
      <c r="M591" s="18"/>
      <c r="N591" s="151"/>
      <c r="P591" s="20"/>
    </row>
    <row r="592">
      <c r="E592" s="151"/>
      <c r="F592" s="151"/>
      <c r="G592" s="18"/>
      <c r="K592" s="18"/>
      <c r="M592" s="18"/>
      <c r="N592" s="151"/>
      <c r="P592" s="20"/>
    </row>
    <row r="593">
      <c r="E593" s="151"/>
      <c r="F593" s="151"/>
      <c r="G593" s="18"/>
      <c r="K593" s="18"/>
      <c r="M593" s="18"/>
      <c r="N593" s="151"/>
      <c r="P593" s="20"/>
    </row>
    <row r="594">
      <c r="E594" s="151"/>
      <c r="F594" s="151"/>
      <c r="G594" s="18"/>
      <c r="K594" s="18"/>
      <c r="M594" s="18"/>
      <c r="N594" s="151"/>
      <c r="P594" s="20"/>
    </row>
    <row r="595">
      <c r="E595" s="151"/>
      <c r="F595" s="151"/>
      <c r="G595" s="18"/>
      <c r="K595" s="18"/>
      <c r="M595" s="18"/>
      <c r="N595" s="151"/>
      <c r="P595" s="20"/>
    </row>
    <row r="596">
      <c r="E596" s="151"/>
      <c r="F596" s="151"/>
      <c r="G596" s="18"/>
      <c r="K596" s="18"/>
      <c r="M596" s="18"/>
      <c r="N596" s="151"/>
      <c r="P596" s="20"/>
    </row>
    <row r="597">
      <c r="E597" s="151"/>
      <c r="F597" s="151"/>
      <c r="G597" s="18"/>
      <c r="K597" s="18"/>
      <c r="M597" s="18"/>
      <c r="N597" s="151"/>
      <c r="P597" s="20"/>
    </row>
    <row r="598">
      <c r="E598" s="151"/>
      <c r="F598" s="151"/>
      <c r="G598" s="18"/>
      <c r="K598" s="18"/>
      <c r="M598" s="18"/>
      <c r="N598" s="151"/>
      <c r="P598" s="20"/>
    </row>
    <row r="599">
      <c r="E599" s="151"/>
      <c r="F599" s="151"/>
      <c r="G599" s="18"/>
      <c r="K599" s="18"/>
      <c r="M599" s="18"/>
      <c r="N599" s="151"/>
      <c r="P599" s="20"/>
    </row>
    <row r="600">
      <c r="E600" s="151"/>
      <c r="F600" s="151"/>
      <c r="G600" s="18"/>
      <c r="K600" s="18"/>
      <c r="M600" s="18"/>
      <c r="N600" s="151"/>
      <c r="P600" s="20"/>
    </row>
    <row r="601">
      <c r="E601" s="151"/>
      <c r="F601" s="151"/>
      <c r="G601" s="18"/>
      <c r="K601" s="18"/>
      <c r="M601" s="18"/>
      <c r="N601" s="151"/>
      <c r="P601" s="20"/>
    </row>
    <row r="602">
      <c r="E602" s="151"/>
      <c r="F602" s="151"/>
      <c r="G602" s="18"/>
      <c r="K602" s="18"/>
      <c r="M602" s="18"/>
      <c r="N602" s="151"/>
      <c r="P602" s="20"/>
    </row>
    <row r="603">
      <c r="E603" s="151"/>
      <c r="F603" s="151"/>
      <c r="G603" s="18"/>
      <c r="K603" s="18"/>
      <c r="M603" s="18"/>
      <c r="N603" s="151"/>
      <c r="P603" s="20"/>
    </row>
    <row r="604">
      <c r="E604" s="151"/>
      <c r="F604" s="151"/>
      <c r="G604" s="18"/>
      <c r="K604" s="18"/>
      <c r="M604" s="18"/>
      <c r="N604" s="151"/>
      <c r="P604" s="20"/>
    </row>
    <row r="605">
      <c r="E605" s="151"/>
      <c r="F605" s="151"/>
      <c r="G605" s="18"/>
      <c r="K605" s="18"/>
      <c r="M605" s="18"/>
      <c r="N605" s="151"/>
      <c r="P605" s="20"/>
    </row>
    <row r="606">
      <c r="E606" s="151"/>
      <c r="F606" s="151"/>
      <c r="G606" s="18"/>
      <c r="K606" s="18"/>
      <c r="M606" s="18"/>
      <c r="N606" s="151"/>
      <c r="P606" s="20"/>
    </row>
    <row r="607">
      <c r="E607" s="151"/>
      <c r="F607" s="151"/>
      <c r="G607" s="18"/>
      <c r="K607" s="18"/>
      <c r="M607" s="18"/>
      <c r="N607" s="151"/>
      <c r="P607" s="20"/>
    </row>
    <row r="608">
      <c r="E608" s="151"/>
      <c r="F608" s="151"/>
      <c r="G608" s="18"/>
      <c r="K608" s="18"/>
      <c r="M608" s="18"/>
      <c r="N608" s="151"/>
      <c r="P608" s="20"/>
    </row>
    <row r="609">
      <c r="E609" s="151"/>
      <c r="F609" s="151"/>
      <c r="G609" s="18"/>
      <c r="K609" s="18"/>
      <c r="M609" s="18"/>
      <c r="N609" s="151"/>
      <c r="P609" s="20"/>
    </row>
    <row r="610">
      <c r="E610" s="151"/>
      <c r="F610" s="151"/>
      <c r="G610" s="18"/>
      <c r="K610" s="18"/>
      <c r="M610" s="18"/>
      <c r="N610" s="151"/>
      <c r="P610" s="20"/>
    </row>
    <row r="611">
      <c r="E611" s="151"/>
      <c r="F611" s="151"/>
      <c r="G611" s="18"/>
      <c r="K611" s="18"/>
      <c r="M611" s="18"/>
      <c r="N611" s="151"/>
      <c r="P611" s="20"/>
    </row>
    <row r="612">
      <c r="E612" s="151"/>
      <c r="F612" s="151"/>
      <c r="G612" s="18"/>
      <c r="K612" s="18"/>
      <c r="M612" s="18"/>
      <c r="N612" s="151"/>
      <c r="P612" s="20"/>
    </row>
    <row r="613">
      <c r="E613" s="151"/>
      <c r="F613" s="151"/>
      <c r="G613" s="18"/>
      <c r="K613" s="18"/>
      <c r="M613" s="18"/>
      <c r="N613" s="151"/>
      <c r="P613" s="20"/>
    </row>
    <row r="614">
      <c r="E614" s="151"/>
      <c r="F614" s="151"/>
      <c r="G614" s="18"/>
      <c r="K614" s="18"/>
      <c r="M614" s="18"/>
      <c r="N614" s="151"/>
      <c r="P614" s="20"/>
    </row>
    <row r="615">
      <c r="E615" s="151"/>
      <c r="F615" s="151"/>
      <c r="G615" s="18"/>
      <c r="K615" s="18"/>
      <c r="M615" s="18"/>
      <c r="N615" s="151"/>
      <c r="P615" s="20"/>
    </row>
    <row r="616">
      <c r="E616" s="151"/>
      <c r="F616" s="151"/>
      <c r="G616" s="18"/>
      <c r="K616" s="18"/>
      <c r="M616" s="18"/>
      <c r="N616" s="151"/>
      <c r="P616" s="20"/>
    </row>
    <row r="617">
      <c r="E617" s="151"/>
      <c r="F617" s="151"/>
      <c r="G617" s="18"/>
      <c r="K617" s="18"/>
      <c r="M617" s="18"/>
      <c r="N617" s="151"/>
      <c r="P617" s="20"/>
    </row>
    <row r="618">
      <c r="E618" s="151"/>
      <c r="F618" s="151"/>
      <c r="G618" s="18"/>
      <c r="K618" s="18"/>
      <c r="M618" s="18"/>
      <c r="N618" s="151"/>
      <c r="P618" s="20"/>
    </row>
    <row r="619">
      <c r="E619" s="151"/>
      <c r="F619" s="151"/>
      <c r="G619" s="18"/>
      <c r="K619" s="18"/>
      <c r="M619" s="18"/>
      <c r="N619" s="151"/>
      <c r="P619" s="20"/>
    </row>
    <row r="620">
      <c r="E620" s="151"/>
      <c r="F620" s="151"/>
      <c r="G620" s="18"/>
      <c r="K620" s="18"/>
      <c r="M620" s="18"/>
      <c r="N620" s="151"/>
      <c r="P620" s="20"/>
    </row>
    <row r="621">
      <c r="E621" s="151"/>
      <c r="F621" s="151"/>
      <c r="G621" s="18"/>
      <c r="K621" s="18"/>
      <c r="M621" s="18"/>
      <c r="N621" s="151"/>
      <c r="P621" s="20"/>
    </row>
    <row r="622">
      <c r="E622" s="151"/>
      <c r="F622" s="151"/>
      <c r="G622" s="18"/>
      <c r="K622" s="18"/>
      <c r="M622" s="18"/>
      <c r="N622" s="151"/>
      <c r="P622" s="20"/>
    </row>
    <row r="623">
      <c r="E623" s="151"/>
      <c r="F623" s="151"/>
      <c r="G623" s="18"/>
      <c r="K623" s="18"/>
      <c r="M623" s="18"/>
      <c r="N623" s="151"/>
      <c r="P623" s="20"/>
    </row>
    <row r="624">
      <c r="E624" s="151"/>
      <c r="F624" s="151"/>
      <c r="G624" s="18"/>
      <c r="K624" s="18"/>
      <c r="M624" s="18"/>
      <c r="N624" s="151"/>
      <c r="P624" s="20"/>
    </row>
    <row r="625">
      <c r="E625" s="151"/>
      <c r="F625" s="151"/>
      <c r="G625" s="18"/>
      <c r="K625" s="18"/>
      <c r="M625" s="18"/>
      <c r="N625" s="151"/>
      <c r="P625" s="20"/>
    </row>
    <row r="626">
      <c r="E626" s="151"/>
      <c r="F626" s="151"/>
      <c r="G626" s="18"/>
      <c r="K626" s="18"/>
      <c r="M626" s="18"/>
      <c r="N626" s="151"/>
      <c r="P626" s="20"/>
    </row>
    <row r="627">
      <c r="E627" s="151"/>
      <c r="F627" s="151"/>
      <c r="G627" s="18"/>
      <c r="K627" s="18"/>
      <c r="M627" s="18"/>
      <c r="N627" s="151"/>
      <c r="P627" s="20"/>
    </row>
    <row r="628">
      <c r="E628" s="151"/>
      <c r="F628" s="151"/>
      <c r="G628" s="18"/>
      <c r="K628" s="18"/>
      <c r="M628" s="18"/>
      <c r="N628" s="151"/>
      <c r="P628" s="20"/>
    </row>
    <row r="629">
      <c r="E629" s="151"/>
      <c r="F629" s="151"/>
      <c r="G629" s="18"/>
      <c r="K629" s="18"/>
      <c r="M629" s="18"/>
      <c r="N629" s="151"/>
      <c r="P629" s="20"/>
    </row>
    <row r="630">
      <c r="E630" s="151"/>
      <c r="F630" s="151"/>
      <c r="G630" s="18"/>
      <c r="K630" s="18"/>
      <c r="M630" s="18"/>
      <c r="N630" s="151"/>
      <c r="P630" s="20"/>
    </row>
    <row r="631">
      <c r="E631" s="151"/>
      <c r="F631" s="151"/>
      <c r="G631" s="18"/>
      <c r="K631" s="18"/>
      <c r="M631" s="18"/>
      <c r="N631" s="151"/>
      <c r="P631" s="20"/>
    </row>
    <row r="632">
      <c r="E632" s="151"/>
      <c r="F632" s="151"/>
      <c r="G632" s="18"/>
      <c r="K632" s="18"/>
      <c r="M632" s="18"/>
      <c r="N632" s="151"/>
      <c r="P632" s="20"/>
    </row>
    <row r="633">
      <c r="E633" s="151"/>
      <c r="F633" s="151"/>
      <c r="G633" s="18"/>
      <c r="K633" s="18"/>
      <c r="M633" s="18"/>
      <c r="N633" s="151"/>
      <c r="P633" s="20"/>
    </row>
    <row r="634">
      <c r="E634" s="151"/>
      <c r="F634" s="151"/>
      <c r="G634" s="18"/>
      <c r="K634" s="18"/>
      <c r="M634" s="18"/>
      <c r="N634" s="151"/>
      <c r="P634" s="20"/>
    </row>
    <row r="635">
      <c r="E635" s="151"/>
      <c r="F635" s="151"/>
      <c r="G635" s="18"/>
      <c r="K635" s="18"/>
      <c r="M635" s="18"/>
      <c r="N635" s="151"/>
      <c r="P635" s="20"/>
    </row>
    <row r="636">
      <c r="E636" s="151"/>
      <c r="F636" s="151"/>
      <c r="G636" s="18"/>
      <c r="K636" s="18"/>
      <c r="M636" s="18"/>
      <c r="N636" s="151"/>
      <c r="P636" s="20"/>
    </row>
    <row r="637">
      <c r="E637" s="151"/>
      <c r="F637" s="151"/>
      <c r="G637" s="18"/>
      <c r="K637" s="18"/>
      <c r="M637" s="18"/>
      <c r="N637" s="151"/>
      <c r="P637" s="20"/>
    </row>
    <row r="638">
      <c r="E638" s="151"/>
      <c r="F638" s="151"/>
      <c r="G638" s="18"/>
      <c r="K638" s="18"/>
      <c r="M638" s="18"/>
      <c r="N638" s="151"/>
      <c r="P638" s="20"/>
    </row>
    <row r="639">
      <c r="E639" s="151"/>
      <c r="F639" s="151"/>
      <c r="G639" s="18"/>
      <c r="K639" s="18"/>
      <c r="M639" s="18"/>
      <c r="N639" s="151"/>
      <c r="P639" s="20"/>
    </row>
    <row r="640">
      <c r="E640" s="151"/>
      <c r="F640" s="151"/>
      <c r="G640" s="18"/>
      <c r="K640" s="18"/>
      <c r="M640" s="18"/>
      <c r="N640" s="151"/>
      <c r="P640" s="20"/>
    </row>
    <row r="641">
      <c r="E641" s="151"/>
      <c r="F641" s="151"/>
      <c r="G641" s="18"/>
      <c r="K641" s="18"/>
      <c r="M641" s="18"/>
      <c r="N641" s="151"/>
      <c r="P641" s="20"/>
    </row>
    <row r="642">
      <c r="E642" s="151"/>
      <c r="F642" s="151"/>
      <c r="G642" s="18"/>
      <c r="K642" s="18"/>
      <c r="M642" s="18"/>
      <c r="N642" s="151"/>
      <c r="P642" s="20"/>
    </row>
    <row r="643">
      <c r="E643" s="151"/>
      <c r="F643" s="151"/>
      <c r="G643" s="18"/>
      <c r="K643" s="18"/>
      <c r="M643" s="18"/>
      <c r="N643" s="151"/>
      <c r="P643" s="20"/>
    </row>
    <row r="644">
      <c r="E644" s="151"/>
      <c r="F644" s="151"/>
      <c r="G644" s="18"/>
      <c r="K644" s="18"/>
      <c r="M644" s="18"/>
      <c r="N644" s="151"/>
      <c r="P644" s="20"/>
    </row>
    <row r="645">
      <c r="E645" s="151"/>
      <c r="F645" s="151"/>
      <c r="G645" s="18"/>
      <c r="K645" s="18"/>
      <c r="M645" s="18"/>
      <c r="N645" s="151"/>
      <c r="P645" s="20"/>
    </row>
    <row r="646">
      <c r="E646" s="151"/>
      <c r="F646" s="151"/>
      <c r="G646" s="18"/>
      <c r="K646" s="18"/>
      <c r="M646" s="18"/>
      <c r="N646" s="151"/>
      <c r="P646" s="20"/>
    </row>
    <row r="647">
      <c r="E647" s="151"/>
      <c r="F647" s="151"/>
      <c r="G647" s="18"/>
      <c r="K647" s="18"/>
      <c r="M647" s="18"/>
      <c r="N647" s="151"/>
      <c r="P647" s="20"/>
    </row>
    <row r="648">
      <c r="E648" s="151"/>
      <c r="F648" s="151"/>
      <c r="G648" s="18"/>
      <c r="K648" s="18"/>
      <c r="M648" s="18"/>
      <c r="N648" s="151"/>
      <c r="P648" s="20"/>
    </row>
    <row r="649">
      <c r="E649" s="151"/>
      <c r="F649" s="151"/>
      <c r="G649" s="18"/>
      <c r="K649" s="18"/>
      <c r="M649" s="18"/>
      <c r="N649" s="151"/>
      <c r="P649" s="20"/>
    </row>
    <row r="650">
      <c r="E650" s="151"/>
      <c r="F650" s="151"/>
      <c r="G650" s="18"/>
      <c r="K650" s="18"/>
      <c r="M650" s="18"/>
      <c r="N650" s="151"/>
      <c r="P650" s="20"/>
    </row>
    <row r="651">
      <c r="E651" s="151"/>
      <c r="F651" s="151"/>
      <c r="G651" s="18"/>
      <c r="K651" s="18"/>
      <c r="M651" s="18"/>
      <c r="N651" s="151"/>
      <c r="P651" s="20"/>
    </row>
    <row r="652">
      <c r="E652" s="151"/>
      <c r="F652" s="151"/>
      <c r="G652" s="18"/>
      <c r="K652" s="18"/>
      <c r="M652" s="18"/>
      <c r="N652" s="151"/>
      <c r="P652" s="20"/>
    </row>
    <row r="653">
      <c r="E653" s="151"/>
      <c r="F653" s="151"/>
      <c r="G653" s="18"/>
      <c r="K653" s="18"/>
      <c r="M653" s="18"/>
      <c r="N653" s="151"/>
      <c r="P653" s="20"/>
    </row>
    <row r="654">
      <c r="E654" s="151"/>
      <c r="F654" s="151"/>
      <c r="G654" s="18"/>
      <c r="K654" s="18"/>
      <c r="M654" s="18"/>
      <c r="N654" s="151"/>
      <c r="P654" s="20"/>
    </row>
    <row r="655">
      <c r="E655" s="151"/>
      <c r="F655" s="151"/>
      <c r="G655" s="18"/>
      <c r="K655" s="18"/>
      <c r="M655" s="18"/>
      <c r="N655" s="151"/>
      <c r="P655" s="20"/>
    </row>
    <row r="656">
      <c r="E656" s="151"/>
      <c r="F656" s="151"/>
      <c r="G656" s="18"/>
      <c r="K656" s="18"/>
      <c r="M656" s="18"/>
      <c r="N656" s="151"/>
      <c r="P656" s="20"/>
    </row>
    <row r="657">
      <c r="E657" s="151"/>
      <c r="F657" s="151"/>
      <c r="G657" s="18"/>
      <c r="K657" s="18"/>
      <c r="M657" s="18"/>
      <c r="N657" s="151"/>
      <c r="P657" s="20"/>
    </row>
    <row r="658">
      <c r="E658" s="151"/>
      <c r="F658" s="151"/>
      <c r="G658" s="18"/>
      <c r="K658" s="18"/>
      <c r="M658" s="18"/>
      <c r="N658" s="151"/>
      <c r="P658" s="20"/>
    </row>
    <row r="659">
      <c r="E659" s="151"/>
      <c r="F659" s="151"/>
      <c r="G659" s="18"/>
      <c r="K659" s="18"/>
      <c r="M659" s="18"/>
      <c r="N659" s="151"/>
      <c r="P659" s="20"/>
    </row>
    <row r="660">
      <c r="E660" s="151"/>
      <c r="F660" s="151"/>
      <c r="G660" s="18"/>
      <c r="K660" s="18"/>
      <c r="M660" s="18"/>
      <c r="N660" s="151"/>
      <c r="P660" s="20"/>
    </row>
    <row r="661">
      <c r="E661" s="151"/>
      <c r="F661" s="151"/>
      <c r="G661" s="18"/>
      <c r="K661" s="18"/>
      <c r="M661" s="18"/>
      <c r="N661" s="151"/>
      <c r="P661" s="20"/>
    </row>
    <row r="662">
      <c r="E662" s="151"/>
      <c r="F662" s="151"/>
      <c r="G662" s="18"/>
      <c r="K662" s="18"/>
      <c r="M662" s="18"/>
      <c r="N662" s="151"/>
      <c r="P662" s="20"/>
    </row>
    <row r="663">
      <c r="E663" s="151"/>
      <c r="F663" s="151"/>
      <c r="G663" s="18"/>
      <c r="K663" s="18"/>
      <c r="M663" s="18"/>
      <c r="N663" s="151"/>
      <c r="P663" s="20"/>
    </row>
    <row r="664">
      <c r="E664" s="151"/>
      <c r="F664" s="151"/>
      <c r="G664" s="18"/>
      <c r="K664" s="18"/>
      <c r="M664" s="18"/>
      <c r="N664" s="151"/>
      <c r="P664" s="20"/>
    </row>
    <row r="665">
      <c r="E665" s="151"/>
      <c r="F665" s="151"/>
      <c r="G665" s="18"/>
      <c r="K665" s="18"/>
      <c r="M665" s="18"/>
      <c r="N665" s="151"/>
      <c r="P665" s="20"/>
    </row>
    <row r="666">
      <c r="E666" s="151"/>
      <c r="F666" s="151"/>
      <c r="G666" s="18"/>
      <c r="K666" s="18"/>
      <c r="M666" s="18"/>
      <c r="N666" s="151"/>
      <c r="P666" s="20"/>
    </row>
    <row r="667">
      <c r="E667" s="151"/>
      <c r="F667" s="151"/>
      <c r="G667" s="18"/>
      <c r="K667" s="18"/>
      <c r="M667" s="18"/>
      <c r="N667" s="151"/>
      <c r="P667" s="20"/>
    </row>
    <row r="668">
      <c r="E668" s="151"/>
      <c r="F668" s="151"/>
      <c r="G668" s="18"/>
      <c r="K668" s="18"/>
      <c r="M668" s="18"/>
      <c r="N668" s="151"/>
      <c r="P668" s="20"/>
    </row>
    <row r="669">
      <c r="E669" s="151"/>
      <c r="F669" s="151"/>
      <c r="G669" s="18"/>
      <c r="K669" s="18"/>
      <c r="M669" s="18"/>
      <c r="N669" s="151"/>
      <c r="P669" s="20"/>
    </row>
    <row r="670">
      <c r="E670" s="151"/>
      <c r="F670" s="151"/>
      <c r="G670" s="18"/>
      <c r="K670" s="18"/>
      <c r="M670" s="18"/>
      <c r="N670" s="151"/>
      <c r="P670" s="20"/>
    </row>
    <row r="671">
      <c r="E671" s="151"/>
      <c r="F671" s="151"/>
      <c r="G671" s="18"/>
      <c r="K671" s="18"/>
      <c r="M671" s="18"/>
      <c r="N671" s="151"/>
      <c r="P671" s="20"/>
    </row>
    <row r="672">
      <c r="E672" s="151"/>
      <c r="F672" s="151"/>
      <c r="G672" s="18"/>
      <c r="K672" s="18"/>
      <c r="M672" s="18"/>
      <c r="N672" s="151"/>
      <c r="P672" s="20"/>
    </row>
    <row r="673">
      <c r="E673" s="151"/>
      <c r="F673" s="151"/>
      <c r="G673" s="18"/>
      <c r="K673" s="18"/>
      <c r="M673" s="18"/>
      <c r="N673" s="151"/>
      <c r="P673" s="20"/>
    </row>
    <row r="674">
      <c r="E674" s="151"/>
      <c r="F674" s="151"/>
      <c r="G674" s="18"/>
      <c r="K674" s="18"/>
      <c r="M674" s="18"/>
      <c r="N674" s="151"/>
      <c r="P674" s="20"/>
    </row>
    <row r="675">
      <c r="E675" s="151"/>
      <c r="F675" s="151"/>
      <c r="G675" s="18"/>
      <c r="K675" s="18"/>
      <c r="M675" s="18"/>
      <c r="N675" s="151"/>
      <c r="P675" s="20"/>
    </row>
    <row r="676">
      <c r="E676" s="151"/>
      <c r="F676" s="151"/>
      <c r="G676" s="18"/>
      <c r="K676" s="18"/>
      <c r="M676" s="18"/>
      <c r="N676" s="151"/>
      <c r="P676" s="20"/>
    </row>
    <row r="677">
      <c r="E677" s="151"/>
      <c r="F677" s="151"/>
      <c r="G677" s="18"/>
      <c r="K677" s="18"/>
      <c r="M677" s="18"/>
      <c r="N677" s="151"/>
      <c r="P677" s="20"/>
    </row>
    <row r="678">
      <c r="E678" s="151"/>
      <c r="F678" s="151"/>
      <c r="G678" s="18"/>
      <c r="K678" s="18"/>
      <c r="M678" s="18"/>
      <c r="N678" s="151"/>
      <c r="P678" s="20"/>
    </row>
    <row r="679">
      <c r="E679" s="151"/>
      <c r="F679" s="151"/>
      <c r="G679" s="18"/>
      <c r="K679" s="18"/>
      <c r="M679" s="18"/>
      <c r="N679" s="151"/>
      <c r="P679" s="20"/>
    </row>
    <row r="680">
      <c r="E680" s="151"/>
      <c r="F680" s="151"/>
      <c r="G680" s="18"/>
      <c r="K680" s="18"/>
      <c r="M680" s="18"/>
      <c r="N680" s="151"/>
      <c r="P680" s="20"/>
    </row>
    <row r="681">
      <c r="E681" s="151"/>
      <c r="F681" s="151"/>
      <c r="G681" s="18"/>
      <c r="K681" s="18"/>
      <c r="M681" s="18"/>
      <c r="N681" s="151"/>
      <c r="P681" s="20"/>
    </row>
    <row r="682">
      <c r="E682" s="151"/>
      <c r="F682" s="151"/>
      <c r="G682" s="18"/>
      <c r="K682" s="18"/>
      <c r="M682" s="18"/>
      <c r="N682" s="151"/>
      <c r="P682" s="20"/>
    </row>
    <row r="683">
      <c r="E683" s="151"/>
      <c r="F683" s="151"/>
      <c r="G683" s="18"/>
      <c r="K683" s="18"/>
      <c r="M683" s="18"/>
      <c r="N683" s="151"/>
      <c r="P683" s="20"/>
    </row>
    <row r="684">
      <c r="E684" s="151"/>
      <c r="F684" s="151"/>
      <c r="G684" s="18"/>
      <c r="K684" s="18"/>
      <c r="M684" s="18"/>
      <c r="N684" s="151"/>
      <c r="P684" s="20"/>
    </row>
    <row r="685">
      <c r="E685" s="151"/>
      <c r="F685" s="151"/>
      <c r="G685" s="18"/>
      <c r="K685" s="18"/>
      <c r="M685" s="18"/>
      <c r="N685" s="151"/>
      <c r="P685" s="20"/>
    </row>
    <row r="686">
      <c r="E686" s="151"/>
      <c r="F686" s="151"/>
      <c r="G686" s="18"/>
      <c r="K686" s="18"/>
      <c r="M686" s="18"/>
      <c r="N686" s="151"/>
      <c r="P686" s="20"/>
    </row>
    <row r="687">
      <c r="E687" s="151"/>
      <c r="F687" s="151"/>
      <c r="G687" s="18"/>
      <c r="K687" s="18"/>
      <c r="M687" s="18"/>
      <c r="N687" s="151"/>
      <c r="P687" s="20"/>
    </row>
    <row r="688">
      <c r="E688" s="151"/>
      <c r="F688" s="151"/>
      <c r="G688" s="18"/>
      <c r="K688" s="18"/>
      <c r="M688" s="18"/>
      <c r="N688" s="151"/>
      <c r="P688" s="20"/>
    </row>
    <row r="689">
      <c r="E689" s="151"/>
      <c r="F689" s="151"/>
      <c r="G689" s="18"/>
      <c r="K689" s="18"/>
      <c r="M689" s="18"/>
      <c r="N689" s="151"/>
      <c r="P689" s="20"/>
    </row>
    <row r="690">
      <c r="E690" s="151"/>
      <c r="F690" s="151"/>
      <c r="G690" s="18"/>
      <c r="K690" s="18"/>
      <c r="M690" s="18"/>
      <c r="N690" s="151"/>
      <c r="P690" s="20"/>
    </row>
    <row r="691">
      <c r="E691" s="151"/>
      <c r="F691" s="151"/>
      <c r="G691" s="18"/>
      <c r="K691" s="18"/>
      <c r="M691" s="18"/>
      <c r="N691" s="151"/>
      <c r="P691" s="20"/>
    </row>
    <row r="692">
      <c r="E692" s="151"/>
      <c r="F692" s="151"/>
      <c r="G692" s="18"/>
      <c r="K692" s="18"/>
      <c r="M692" s="18"/>
      <c r="N692" s="151"/>
      <c r="P692" s="20"/>
    </row>
    <row r="693">
      <c r="E693" s="151"/>
      <c r="F693" s="151"/>
      <c r="G693" s="18"/>
      <c r="K693" s="18"/>
      <c r="M693" s="18"/>
      <c r="N693" s="151"/>
      <c r="P693" s="20"/>
    </row>
    <row r="694">
      <c r="E694" s="151"/>
      <c r="F694" s="151"/>
      <c r="G694" s="18"/>
      <c r="K694" s="18"/>
      <c r="M694" s="18"/>
      <c r="N694" s="151"/>
      <c r="P694" s="20"/>
    </row>
    <row r="695">
      <c r="E695" s="151"/>
      <c r="F695" s="151"/>
      <c r="G695" s="18"/>
      <c r="K695" s="18"/>
      <c r="M695" s="18"/>
      <c r="N695" s="151"/>
      <c r="P695" s="20"/>
    </row>
    <row r="696">
      <c r="E696" s="151"/>
      <c r="F696" s="151"/>
      <c r="G696" s="18"/>
      <c r="K696" s="18"/>
      <c r="M696" s="18"/>
      <c r="N696" s="151"/>
      <c r="P696" s="20"/>
    </row>
    <row r="697">
      <c r="E697" s="151"/>
      <c r="F697" s="151"/>
      <c r="G697" s="18"/>
      <c r="K697" s="18"/>
      <c r="M697" s="18"/>
      <c r="N697" s="151"/>
      <c r="P697" s="20"/>
    </row>
    <row r="698">
      <c r="E698" s="151"/>
      <c r="F698" s="151"/>
      <c r="G698" s="18"/>
      <c r="K698" s="18"/>
      <c r="M698" s="18"/>
      <c r="N698" s="151"/>
      <c r="P698" s="20"/>
    </row>
    <row r="699">
      <c r="E699" s="151"/>
      <c r="F699" s="151"/>
      <c r="G699" s="18"/>
      <c r="K699" s="18"/>
      <c r="M699" s="18"/>
      <c r="N699" s="151"/>
      <c r="P699" s="20"/>
    </row>
    <row r="700">
      <c r="E700" s="151"/>
      <c r="F700" s="151"/>
      <c r="G700" s="18"/>
      <c r="K700" s="18"/>
      <c r="M700" s="18"/>
      <c r="N700" s="151"/>
      <c r="P700" s="20"/>
    </row>
    <row r="701">
      <c r="E701" s="151"/>
      <c r="F701" s="151"/>
      <c r="G701" s="18"/>
      <c r="K701" s="18"/>
      <c r="M701" s="18"/>
      <c r="N701" s="151"/>
      <c r="P701" s="20"/>
    </row>
    <row r="702">
      <c r="E702" s="151"/>
      <c r="F702" s="151"/>
      <c r="G702" s="18"/>
      <c r="K702" s="18"/>
      <c r="M702" s="18"/>
      <c r="N702" s="151"/>
      <c r="P702" s="20"/>
    </row>
    <row r="703">
      <c r="E703" s="151"/>
      <c r="F703" s="151"/>
      <c r="G703" s="18"/>
      <c r="K703" s="18"/>
      <c r="M703" s="18"/>
      <c r="N703" s="151"/>
      <c r="P703" s="20"/>
    </row>
    <row r="704">
      <c r="E704" s="151"/>
      <c r="F704" s="151"/>
      <c r="G704" s="18"/>
      <c r="K704" s="18"/>
      <c r="M704" s="18"/>
      <c r="N704" s="151"/>
      <c r="P704" s="20"/>
    </row>
    <row r="705">
      <c r="E705" s="151"/>
      <c r="F705" s="151"/>
      <c r="G705" s="18"/>
      <c r="K705" s="18"/>
      <c r="M705" s="18"/>
      <c r="N705" s="151"/>
      <c r="P705" s="20"/>
    </row>
    <row r="706">
      <c r="E706" s="151"/>
      <c r="F706" s="151"/>
      <c r="G706" s="18"/>
      <c r="K706" s="18"/>
      <c r="M706" s="18"/>
      <c r="N706" s="151"/>
      <c r="P706" s="20"/>
    </row>
    <row r="707">
      <c r="E707" s="151"/>
      <c r="F707" s="151"/>
      <c r="G707" s="18"/>
      <c r="K707" s="18"/>
      <c r="M707" s="18"/>
      <c r="N707" s="151"/>
      <c r="P707" s="20"/>
    </row>
    <row r="708">
      <c r="E708" s="151"/>
      <c r="F708" s="151"/>
      <c r="G708" s="18"/>
      <c r="K708" s="18"/>
      <c r="M708" s="18"/>
      <c r="N708" s="151"/>
      <c r="P708" s="20"/>
    </row>
    <row r="709">
      <c r="E709" s="151"/>
      <c r="F709" s="151"/>
      <c r="G709" s="18"/>
      <c r="K709" s="18"/>
      <c r="M709" s="18"/>
      <c r="N709" s="151"/>
      <c r="P709" s="20"/>
    </row>
    <row r="710">
      <c r="E710" s="151"/>
      <c r="F710" s="151"/>
      <c r="G710" s="18"/>
      <c r="K710" s="18"/>
      <c r="M710" s="18"/>
      <c r="N710" s="151"/>
      <c r="P710" s="20"/>
    </row>
    <row r="711">
      <c r="E711" s="151"/>
      <c r="F711" s="151"/>
      <c r="G711" s="18"/>
      <c r="K711" s="18"/>
      <c r="M711" s="18"/>
      <c r="N711" s="151"/>
      <c r="P711" s="20"/>
    </row>
    <row r="712">
      <c r="E712" s="151"/>
      <c r="F712" s="151"/>
      <c r="G712" s="18"/>
      <c r="K712" s="18"/>
      <c r="M712" s="18"/>
      <c r="N712" s="151"/>
      <c r="P712" s="20"/>
    </row>
    <row r="713">
      <c r="E713" s="151"/>
      <c r="F713" s="151"/>
      <c r="G713" s="18"/>
      <c r="K713" s="18"/>
      <c r="M713" s="18"/>
      <c r="N713" s="151"/>
      <c r="P713" s="20"/>
    </row>
    <row r="714">
      <c r="E714" s="151"/>
      <c r="F714" s="151"/>
      <c r="G714" s="18"/>
      <c r="K714" s="18"/>
      <c r="M714" s="18"/>
      <c r="N714" s="151"/>
      <c r="P714" s="20"/>
    </row>
    <row r="715">
      <c r="E715" s="151"/>
      <c r="F715" s="151"/>
      <c r="G715" s="18"/>
      <c r="K715" s="18"/>
      <c r="M715" s="18"/>
      <c r="N715" s="151"/>
      <c r="P715" s="20"/>
    </row>
    <row r="716">
      <c r="E716" s="151"/>
      <c r="F716" s="151"/>
      <c r="G716" s="18"/>
      <c r="K716" s="18"/>
      <c r="M716" s="18"/>
      <c r="N716" s="151"/>
      <c r="P716" s="20"/>
    </row>
    <row r="717">
      <c r="E717" s="151"/>
      <c r="F717" s="151"/>
      <c r="G717" s="18"/>
      <c r="K717" s="18"/>
      <c r="M717" s="18"/>
      <c r="N717" s="151"/>
      <c r="P717" s="20"/>
    </row>
    <row r="718">
      <c r="E718" s="151"/>
      <c r="F718" s="151"/>
      <c r="G718" s="18"/>
      <c r="K718" s="18"/>
      <c r="M718" s="18"/>
      <c r="N718" s="151"/>
      <c r="P718" s="20"/>
    </row>
    <row r="719">
      <c r="E719" s="151"/>
      <c r="F719" s="151"/>
      <c r="G719" s="18"/>
      <c r="K719" s="18"/>
      <c r="M719" s="18"/>
      <c r="N719" s="151"/>
      <c r="P719" s="20"/>
    </row>
    <row r="720">
      <c r="E720" s="151"/>
      <c r="F720" s="151"/>
      <c r="G720" s="18"/>
      <c r="K720" s="18"/>
      <c r="M720" s="18"/>
      <c r="N720" s="151"/>
      <c r="P720" s="20"/>
    </row>
    <row r="721">
      <c r="E721" s="151"/>
      <c r="F721" s="151"/>
      <c r="G721" s="18"/>
      <c r="K721" s="18"/>
      <c r="M721" s="18"/>
      <c r="N721" s="151"/>
      <c r="P721" s="20"/>
    </row>
    <row r="722">
      <c r="E722" s="151"/>
      <c r="F722" s="151"/>
      <c r="G722" s="18"/>
      <c r="K722" s="18"/>
      <c r="M722" s="18"/>
      <c r="N722" s="151"/>
      <c r="P722" s="20"/>
    </row>
    <row r="723">
      <c r="E723" s="151"/>
      <c r="F723" s="151"/>
      <c r="G723" s="18"/>
      <c r="K723" s="18"/>
      <c r="M723" s="18"/>
      <c r="N723" s="151"/>
      <c r="P723" s="20"/>
    </row>
    <row r="724">
      <c r="E724" s="151"/>
      <c r="F724" s="151"/>
      <c r="G724" s="18"/>
      <c r="K724" s="18"/>
      <c r="M724" s="18"/>
      <c r="N724" s="151"/>
      <c r="P724" s="20"/>
    </row>
    <row r="725">
      <c r="E725" s="151"/>
      <c r="F725" s="151"/>
      <c r="G725" s="18"/>
      <c r="K725" s="18"/>
      <c r="M725" s="18"/>
      <c r="N725" s="151"/>
      <c r="P725" s="20"/>
    </row>
    <row r="726">
      <c r="E726" s="151"/>
      <c r="F726" s="151"/>
      <c r="G726" s="18"/>
      <c r="K726" s="18"/>
      <c r="M726" s="18"/>
      <c r="N726" s="151"/>
      <c r="P726" s="20"/>
    </row>
    <row r="727">
      <c r="E727" s="151"/>
      <c r="F727" s="151"/>
      <c r="G727" s="18"/>
      <c r="K727" s="18"/>
      <c r="M727" s="18"/>
      <c r="N727" s="151"/>
      <c r="P727" s="20"/>
    </row>
    <row r="728">
      <c r="E728" s="151"/>
      <c r="F728" s="151"/>
      <c r="G728" s="18"/>
      <c r="K728" s="18"/>
      <c r="M728" s="18"/>
      <c r="N728" s="151"/>
      <c r="P728" s="20"/>
    </row>
    <row r="729">
      <c r="E729" s="151"/>
      <c r="F729" s="151"/>
      <c r="G729" s="18"/>
      <c r="K729" s="18"/>
      <c r="M729" s="18"/>
      <c r="N729" s="151"/>
      <c r="P729" s="20"/>
    </row>
    <row r="730">
      <c r="E730" s="151"/>
      <c r="F730" s="151"/>
      <c r="G730" s="18"/>
      <c r="K730" s="18"/>
      <c r="M730" s="18"/>
      <c r="N730" s="151"/>
      <c r="P730" s="20"/>
    </row>
    <row r="731">
      <c r="E731" s="151"/>
      <c r="F731" s="151"/>
      <c r="G731" s="18"/>
      <c r="K731" s="18"/>
      <c r="M731" s="18"/>
      <c r="N731" s="151"/>
      <c r="P731" s="20"/>
    </row>
    <row r="732">
      <c r="E732" s="151"/>
      <c r="F732" s="151"/>
      <c r="G732" s="18"/>
      <c r="K732" s="18"/>
      <c r="M732" s="18"/>
      <c r="N732" s="151"/>
      <c r="P732" s="20"/>
    </row>
    <row r="733">
      <c r="E733" s="151"/>
      <c r="F733" s="151"/>
      <c r="G733" s="18"/>
      <c r="K733" s="18"/>
      <c r="M733" s="18"/>
      <c r="N733" s="151"/>
      <c r="P733" s="20"/>
    </row>
    <row r="734">
      <c r="E734" s="151"/>
      <c r="F734" s="151"/>
      <c r="G734" s="18"/>
      <c r="K734" s="18"/>
      <c r="M734" s="18"/>
      <c r="N734" s="151"/>
      <c r="P734" s="20"/>
    </row>
    <row r="735">
      <c r="E735" s="151"/>
      <c r="F735" s="151"/>
      <c r="G735" s="18"/>
      <c r="K735" s="18"/>
      <c r="M735" s="18"/>
      <c r="N735" s="151"/>
      <c r="P735" s="20"/>
    </row>
    <row r="736">
      <c r="E736" s="151"/>
      <c r="F736" s="151"/>
      <c r="G736" s="18"/>
      <c r="K736" s="18"/>
      <c r="M736" s="18"/>
      <c r="N736" s="151"/>
      <c r="P736" s="20"/>
    </row>
    <row r="737">
      <c r="E737" s="151"/>
      <c r="F737" s="151"/>
      <c r="G737" s="18"/>
      <c r="K737" s="18"/>
      <c r="M737" s="18"/>
      <c r="N737" s="151"/>
      <c r="P737" s="20"/>
    </row>
    <row r="738">
      <c r="E738" s="151"/>
      <c r="F738" s="151"/>
      <c r="G738" s="18"/>
      <c r="K738" s="18"/>
      <c r="M738" s="18"/>
      <c r="N738" s="151"/>
      <c r="P738" s="20"/>
    </row>
    <row r="739">
      <c r="E739" s="151"/>
      <c r="F739" s="151"/>
      <c r="G739" s="18"/>
      <c r="K739" s="18"/>
      <c r="M739" s="18"/>
      <c r="N739" s="151"/>
      <c r="P739" s="20"/>
    </row>
    <row r="740">
      <c r="E740" s="151"/>
      <c r="F740" s="151"/>
      <c r="G740" s="18"/>
      <c r="K740" s="18"/>
      <c r="M740" s="18"/>
      <c r="N740" s="151"/>
      <c r="P740" s="20"/>
    </row>
    <row r="741">
      <c r="E741" s="151"/>
      <c r="F741" s="151"/>
      <c r="G741" s="18"/>
      <c r="K741" s="18"/>
      <c r="M741" s="18"/>
      <c r="N741" s="151"/>
      <c r="P741" s="20"/>
    </row>
    <row r="742">
      <c r="E742" s="151"/>
      <c r="F742" s="151"/>
      <c r="G742" s="18"/>
      <c r="K742" s="18"/>
      <c r="M742" s="18"/>
      <c r="N742" s="151"/>
      <c r="P742" s="20"/>
    </row>
    <row r="743">
      <c r="E743" s="151"/>
      <c r="F743" s="151"/>
      <c r="G743" s="18"/>
      <c r="K743" s="18"/>
      <c r="M743" s="18"/>
      <c r="N743" s="151"/>
      <c r="P743" s="20"/>
    </row>
    <row r="744">
      <c r="E744" s="151"/>
      <c r="F744" s="151"/>
      <c r="G744" s="18"/>
      <c r="K744" s="18"/>
      <c r="M744" s="18"/>
      <c r="N744" s="151"/>
      <c r="P744" s="20"/>
    </row>
    <row r="745">
      <c r="E745" s="151"/>
      <c r="F745" s="151"/>
      <c r="G745" s="18"/>
      <c r="K745" s="18"/>
      <c r="M745" s="18"/>
      <c r="N745" s="151"/>
      <c r="P745" s="20"/>
    </row>
    <row r="746">
      <c r="E746" s="151"/>
      <c r="F746" s="151"/>
      <c r="G746" s="18"/>
      <c r="K746" s="18"/>
      <c r="M746" s="18"/>
      <c r="N746" s="151"/>
      <c r="P746" s="20"/>
    </row>
    <row r="747">
      <c r="E747" s="151"/>
      <c r="F747" s="151"/>
      <c r="G747" s="18"/>
      <c r="K747" s="18"/>
      <c r="M747" s="18"/>
      <c r="N747" s="151"/>
      <c r="P747" s="20"/>
    </row>
    <row r="748">
      <c r="E748" s="151"/>
      <c r="F748" s="151"/>
      <c r="G748" s="18"/>
      <c r="K748" s="18"/>
      <c r="M748" s="18"/>
      <c r="N748" s="151"/>
      <c r="P748" s="20"/>
    </row>
    <row r="749">
      <c r="E749" s="151"/>
      <c r="F749" s="151"/>
      <c r="G749" s="18"/>
      <c r="K749" s="18"/>
      <c r="M749" s="18"/>
      <c r="N749" s="151"/>
      <c r="P749" s="20"/>
    </row>
    <row r="750">
      <c r="E750" s="151"/>
      <c r="F750" s="151"/>
      <c r="G750" s="18"/>
      <c r="K750" s="18"/>
      <c r="M750" s="18"/>
      <c r="N750" s="151"/>
      <c r="P750" s="20"/>
    </row>
    <row r="751">
      <c r="E751" s="151"/>
      <c r="F751" s="151"/>
      <c r="G751" s="18"/>
      <c r="K751" s="18"/>
      <c r="M751" s="18"/>
      <c r="N751" s="151"/>
      <c r="P751" s="20"/>
    </row>
    <row r="752">
      <c r="E752" s="151"/>
      <c r="F752" s="151"/>
      <c r="G752" s="18"/>
      <c r="K752" s="18"/>
      <c r="M752" s="18"/>
      <c r="N752" s="151"/>
      <c r="P752" s="20"/>
    </row>
    <row r="753">
      <c r="E753" s="151"/>
      <c r="F753" s="151"/>
      <c r="G753" s="18"/>
      <c r="K753" s="18"/>
      <c r="M753" s="18"/>
      <c r="N753" s="151"/>
      <c r="P753" s="20"/>
    </row>
    <row r="754">
      <c r="E754" s="151"/>
      <c r="F754" s="151"/>
      <c r="G754" s="18"/>
      <c r="K754" s="18"/>
      <c r="M754" s="18"/>
      <c r="N754" s="151"/>
      <c r="P754" s="20"/>
    </row>
    <row r="755">
      <c r="E755" s="151"/>
      <c r="F755" s="151"/>
      <c r="G755" s="18"/>
      <c r="K755" s="18"/>
      <c r="M755" s="18"/>
      <c r="N755" s="151"/>
      <c r="P755" s="20"/>
    </row>
    <row r="756">
      <c r="E756" s="151"/>
      <c r="F756" s="151"/>
      <c r="G756" s="18"/>
      <c r="K756" s="18"/>
      <c r="M756" s="18"/>
      <c r="N756" s="151"/>
      <c r="P756" s="20"/>
    </row>
    <row r="757">
      <c r="E757" s="151"/>
      <c r="F757" s="151"/>
      <c r="G757" s="18"/>
      <c r="K757" s="18"/>
      <c r="M757" s="18"/>
      <c r="N757" s="151"/>
      <c r="P757" s="20"/>
    </row>
    <row r="758">
      <c r="E758" s="151"/>
      <c r="F758" s="151"/>
      <c r="G758" s="18"/>
      <c r="K758" s="18"/>
      <c r="M758" s="18"/>
      <c r="N758" s="151"/>
      <c r="P758" s="20"/>
    </row>
    <row r="759">
      <c r="E759" s="151"/>
      <c r="F759" s="151"/>
      <c r="G759" s="18"/>
      <c r="K759" s="18"/>
      <c r="M759" s="18"/>
      <c r="N759" s="151"/>
      <c r="P759" s="20"/>
    </row>
    <row r="760">
      <c r="E760" s="151"/>
      <c r="F760" s="151"/>
      <c r="G760" s="18"/>
      <c r="K760" s="18"/>
      <c r="M760" s="18"/>
      <c r="N760" s="151"/>
      <c r="P760" s="20"/>
    </row>
    <row r="761">
      <c r="E761" s="151"/>
      <c r="F761" s="151"/>
      <c r="G761" s="18"/>
      <c r="K761" s="18"/>
      <c r="M761" s="18"/>
      <c r="N761" s="151"/>
      <c r="P761" s="20"/>
    </row>
    <row r="762">
      <c r="E762" s="151"/>
      <c r="F762" s="151"/>
      <c r="G762" s="18"/>
      <c r="K762" s="18"/>
      <c r="M762" s="18"/>
      <c r="N762" s="151"/>
      <c r="P762" s="20"/>
    </row>
    <row r="763">
      <c r="E763" s="151"/>
      <c r="F763" s="151"/>
      <c r="G763" s="18"/>
      <c r="K763" s="18"/>
      <c r="M763" s="18"/>
      <c r="N763" s="151"/>
      <c r="P763" s="20"/>
    </row>
    <row r="764">
      <c r="E764" s="151"/>
      <c r="F764" s="151"/>
      <c r="G764" s="18"/>
      <c r="K764" s="18"/>
      <c r="M764" s="18"/>
      <c r="N764" s="151"/>
      <c r="P764" s="20"/>
    </row>
    <row r="765">
      <c r="E765" s="151"/>
      <c r="F765" s="151"/>
      <c r="G765" s="18"/>
      <c r="K765" s="18"/>
      <c r="M765" s="18"/>
      <c r="N765" s="151"/>
      <c r="P765" s="20"/>
    </row>
    <row r="766">
      <c r="E766" s="151"/>
      <c r="F766" s="151"/>
      <c r="G766" s="18"/>
      <c r="K766" s="18"/>
      <c r="M766" s="18"/>
      <c r="N766" s="151"/>
      <c r="P766" s="20"/>
    </row>
    <row r="767">
      <c r="E767" s="151"/>
      <c r="F767" s="151"/>
      <c r="G767" s="18"/>
      <c r="K767" s="18"/>
      <c r="M767" s="18"/>
      <c r="N767" s="151"/>
      <c r="P767" s="20"/>
    </row>
    <row r="768">
      <c r="E768" s="151"/>
      <c r="F768" s="151"/>
      <c r="G768" s="18"/>
      <c r="K768" s="18"/>
      <c r="M768" s="18"/>
      <c r="N768" s="151"/>
      <c r="P768" s="20"/>
    </row>
    <row r="769">
      <c r="E769" s="151"/>
      <c r="F769" s="151"/>
      <c r="G769" s="18"/>
      <c r="K769" s="18"/>
      <c r="M769" s="18"/>
      <c r="N769" s="151"/>
      <c r="P769" s="20"/>
    </row>
    <row r="770">
      <c r="E770" s="151"/>
      <c r="F770" s="151"/>
      <c r="G770" s="18"/>
      <c r="K770" s="18"/>
      <c r="M770" s="18"/>
      <c r="N770" s="151"/>
      <c r="P770" s="20"/>
    </row>
    <row r="771">
      <c r="E771" s="151"/>
      <c r="F771" s="151"/>
      <c r="G771" s="18"/>
      <c r="K771" s="18"/>
      <c r="M771" s="18"/>
      <c r="N771" s="151"/>
      <c r="P771" s="20"/>
    </row>
    <row r="772">
      <c r="E772" s="151"/>
      <c r="F772" s="151"/>
      <c r="G772" s="18"/>
      <c r="K772" s="18"/>
      <c r="M772" s="18"/>
      <c r="N772" s="151"/>
      <c r="P772" s="20"/>
    </row>
    <row r="773">
      <c r="E773" s="151"/>
      <c r="F773" s="151"/>
      <c r="G773" s="18"/>
      <c r="K773" s="18"/>
      <c r="M773" s="18"/>
      <c r="N773" s="151"/>
      <c r="P773" s="20"/>
    </row>
    <row r="774">
      <c r="E774" s="151"/>
      <c r="F774" s="151"/>
      <c r="G774" s="18"/>
      <c r="K774" s="18"/>
      <c r="M774" s="18"/>
      <c r="N774" s="151"/>
      <c r="P774" s="20"/>
    </row>
    <row r="775">
      <c r="E775" s="151"/>
      <c r="F775" s="151"/>
      <c r="G775" s="18"/>
      <c r="K775" s="18"/>
      <c r="M775" s="18"/>
      <c r="N775" s="151"/>
      <c r="P775" s="20"/>
    </row>
    <row r="776">
      <c r="E776" s="151"/>
      <c r="F776" s="151"/>
      <c r="G776" s="18"/>
      <c r="K776" s="18"/>
      <c r="M776" s="18"/>
      <c r="N776" s="151"/>
      <c r="P776" s="20"/>
    </row>
    <row r="777">
      <c r="E777" s="151"/>
      <c r="F777" s="151"/>
      <c r="G777" s="18"/>
      <c r="K777" s="18"/>
      <c r="M777" s="18"/>
      <c r="N777" s="151"/>
      <c r="P777" s="20"/>
    </row>
    <row r="778">
      <c r="E778" s="151"/>
      <c r="F778" s="151"/>
      <c r="G778" s="18"/>
      <c r="K778" s="18"/>
      <c r="M778" s="18"/>
      <c r="N778" s="151"/>
      <c r="P778" s="20"/>
    </row>
    <row r="779">
      <c r="E779" s="151"/>
      <c r="F779" s="151"/>
      <c r="G779" s="18"/>
      <c r="K779" s="18"/>
      <c r="M779" s="18"/>
      <c r="N779" s="151"/>
      <c r="P779" s="20"/>
    </row>
    <row r="780">
      <c r="E780" s="151"/>
      <c r="F780" s="151"/>
      <c r="G780" s="18"/>
      <c r="K780" s="18"/>
      <c r="M780" s="18"/>
      <c r="N780" s="151"/>
      <c r="P780" s="20"/>
    </row>
    <row r="781">
      <c r="E781" s="151"/>
      <c r="F781" s="151"/>
      <c r="G781" s="18"/>
      <c r="K781" s="18"/>
      <c r="M781" s="18"/>
      <c r="N781" s="151"/>
      <c r="P781" s="20"/>
    </row>
    <row r="782">
      <c r="E782" s="151"/>
      <c r="F782" s="151"/>
      <c r="G782" s="18"/>
      <c r="K782" s="18"/>
      <c r="M782" s="18"/>
      <c r="N782" s="151"/>
      <c r="P782" s="20"/>
    </row>
    <row r="783">
      <c r="E783" s="151"/>
      <c r="F783" s="151"/>
      <c r="G783" s="18"/>
      <c r="K783" s="18"/>
      <c r="M783" s="18"/>
      <c r="N783" s="151"/>
      <c r="P783" s="20"/>
    </row>
    <row r="784">
      <c r="E784" s="151"/>
      <c r="F784" s="151"/>
      <c r="G784" s="18"/>
      <c r="K784" s="18"/>
      <c r="M784" s="18"/>
      <c r="N784" s="151"/>
      <c r="P784" s="20"/>
    </row>
    <row r="785">
      <c r="E785" s="151"/>
      <c r="F785" s="151"/>
      <c r="G785" s="18"/>
      <c r="K785" s="18"/>
      <c r="M785" s="18"/>
      <c r="N785" s="151"/>
      <c r="P785" s="20"/>
    </row>
    <row r="786">
      <c r="E786" s="151"/>
      <c r="F786" s="151"/>
      <c r="G786" s="18"/>
      <c r="K786" s="18"/>
      <c r="M786" s="18"/>
      <c r="N786" s="151"/>
      <c r="P786" s="20"/>
    </row>
    <row r="787">
      <c r="E787" s="151"/>
      <c r="F787" s="151"/>
      <c r="G787" s="18"/>
      <c r="K787" s="18"/>
      <c r="M787" s="18"/>
      <c r="N787" s="151"/>
      <c r="P787" s="20"/>
    </row>
    <row r="788">
      <c r="E788" s="151"/>
      <c r="F788" s="151"/>
      <c r="G788" s="18"/>
      <c r="K788" s="18"/>
      <c r="M788" s="18"/>
      <c r="N788" s="151"/>
      <c r="P788" s="20"/>
    </row>
    <row r="789">
      <c r="E789" s="151"/>
      <c r="F789" s="151"/>
      <c r="G789" s="18"/>
      <c r="K789" s="18"/>
      <c r="M789" s="18"/>
      <c r="N789" s="151"/>
      <c r="P789" s="20"/>
    </row>
    <row r="790">
      <c r="E790" s="151"/>
      <c r="F790" s="151"/>
      <c r="G790" s="18"/>
      <c r="K790" s="18"/>
      <c r="M790" s="18"/>
      <c r="N790" s="151"/>
      <c r="P790" s="20"/>
    </row>
    <row r="791">
      <c r="E791" s="151"/>
      <c r="F791" s="151"/>
      <c r="G791" s="18"/>
      <c r="K791" s="18"/>
      <c r="M791" s="18"/>
      <c r="N791" s="151"/>
      <c r="P791" s="20"/>
    </row>
    <row r="792">
      <c r="E792" s="151"/>
      <c r="F792" s="151"/>
      <c r="G792" s="18"/>
      <c r="K792" s="18"/>
      <c r="M792" s="18"/>
      <c r="N792" s="151"/>
      <c r="P792" s="20"/>
    </row>
    <row r="793">
      <c r="E793" s="151"/>
      <c r="F793" s="151"/>
      <c r="G793" s="18"/>
      <c r="K793" s="18"/>
      <c r="M793" s="18"/>
      <c r="N793" s="151"/>
      <c r="P793" s="20"/>
    </row>
    <row r="794">
      <c r="E794" s="151"/>
      <c r="F794" s="151"/>
      <c r="G794" s="18"/>
      <c r="K794" s="18"/>
      <c r="M794" s="18"/>
      <c r="N794" s="151"/>
      <c r="P794" s="20"/>
    </row>
    <row r="795">
      <c r="E795" s="151"/>
      <c r="F795" s="151"/>
      <c r="G795" s="18"/>
      <c r="K795" s="18"/>
      <c r="M795" s="18"/>
      <c r="N795" s="151"/>
      <c r="P795" s="20"/>
    </row>
    <row r="796">
      <c r="E796" s="151"/>
      <c r="F796" s="151"/>
      <c r="G796" s="18"/>
      <c r="K796" s="18"/>
      <c r="M796" s="18"/>
      <c r="N796" s="151"/>
      <c r="P796" s="20"/>
    </row>
    <row r="797">
      <c r="E797" s="151"/>
      <c r="F797" s="151"/>
      <c r="G797" s="18"/>
      <c r="K797" s="18"/>
      <c r="M797" s="18"/>
      <c r="N797" s="151"/>
      <c r="P797" s="20"/>
    </row>
    <row r="798">
      <c r="E798" s="151"/>
      <c r="F798" s="151"/>
      <c r="G798" s="18"/>
      <c r="K798" s="18"/>
      <c r="M798" s="18"/>
      <c r="N798" s="151"/>
      <c r="P798" s="20"/>
    </row>
    <row r="799">
      <c r="E799" s="151"/>
      <c r="F799" s="151"/>
      <c r="G799" s="18"/>
      <c r="K799" s="18"/>
      <c r="M799" s="18"/>
      <c r="N799" s="151"/>
      <c r="P799" s="20"/>
    </row>
    <row r="800">
      <c r="E800" s="151"/>
      <c r="F800" s="151"/>
      <c r="G800" s="18"/>
      <c r="K800" s="18"/>
      <c r="M800" s="18"/>
      <c r="N800" s="151"/>
      <c r="P800" s="20"/>
    </row>
    <row r="801">
      <c r="E801" s="151"/>
      <c r="F801" s="151"/>
      <c r="G801" s="18"/>
      <c r="K801" s="18"/>
      <c r="M801" s="18"/>
      <c r="N801" s="151"/>
      <c r="P801" s="20"/>
    </row>
    <row r="802">
      <c r="E802" s="151"/>
      <c r="F802" s="151"/>
      <c r="G802" s="18"/>
      <c r="K802" s="18"/>
      <c r="M802" s="18"/>
      <c r="N802" s="151"/>
      <c r="P802" s="20"/>
    </row>
    <row r="803">
      <c r="E803" s="151"/>
      <c r="F803" s="151"/>
      <c r="G803" s="18"/>
      <c r="K803" s="18"/>
      <c r="M803" s="18"/>
      <c r="N803" s="151"/>
      <c r="P803" s="20"/>
    </row>
    <row r="804">
      <c r="E804" s="151"/>
      <c r="F804" s="151"/>
      <c r="G804" s="18"/>
      <c r="K804" s="18"/>
      <c r="M804" s="18"/>
      <c r="N804" s="151"/>
      <c r="P804" s="20"/>
    </row>
    <row r="805">
      <c r="E805" s="151"/>
      <c r="F805" s="151"/>
      <c r="G805" s="18"/>
      <c r="K805" s="18"/>
      <c r="M805" s="18"/>
      <c r="N805" s="151"/>
      <c r="P805" s="20"/>
    </row>
    <row r="806">
      <c r="E806" s="151"/>
      <c r="F806" s="151"/>
      <c r="G806" s="18"/>
      <c r="K806" s="18"/>
      <c r="M806" s="18"/>
      <c r="N806" s="151"/>
      <c r="P806" s="20"/>
    </row>
    <row r="807">
      <c r="E807" s="151"/>
      <c r="F807" s="151"/>
      <c r="G807" s="18"/>
      <c r="K807" s="18"/>
      <c r="M807" s="18"/>
      <c r="N807" s="151"/>
      <c r="P807" s="20"/>
    </row>
    <row r="808">
      <c r="E808" s="151"/>
      <c r="F808" s="151"/>
      <c r="G808" s="18"/>
      <c r="K808" s="18"/>
      <c r="M808" s="18"/>
      <c r="N808" s="151"/>
      <c r="P808" s="20"/>
    </row>
    <row r="809">
      <c r="E809" s="151"/>
      <c r="F809" s="151"/>
      <c r="G809" s="18"/>
      <c r="K809" s="18"/>
      <c r="M809" s="18"/>
      <c r="N809" s="151"/>
      <c r="P809" s="20"/>
    </row>
    <row r="810">
      <c r="E810" s="151"/>
      <c r="F810" s="151"/>
      <c r="G810" s="18"/>
      <c r="K810" s="18"/>
      <c r="M810" s="18"/>
      <c r="N810" s="151"/>
      <c r="P810" s="20"/>
    </row>
    <row r="811">
      <c r="E811" s="151"/>
      <c r="F811" s="151"/>
      <c r="G811" s="18"/>
      <c r="K811" s="18"/>
      <c r="M811" s="18"/>
      <c r="N811" s="151"/>
      <c r="P811" s="20"/>
    </row>
    <row r="812">
      <c r="E812" s="151"/>
      <c r="F812" s="151"/>
      <c r="G812" s="18"/>
      <c r="K812" s="18"/>
      <c r="M812" s="18"/>
      <c r="N812" s="151"/>
      <c r="P812" s="20"/>
    </row>
    <row r="813">
      <c r="E813" s="151"/>
      <c r="F813" s="151"/>
      <c r="G813" s="18"/>
      <c r="K813" s="18"/>
      <c r="M813" s="18"/>
      <c r="N813" s="151"/>
      <c r="P813" s="20"/>
    </row>
    <row r="814">
      <c r="E814" s="151"/>
      <c r="F814" s="151"/>
      <c r="G814" s="18"/>
      <c r="K814" s="18"/>
      <c r="M814" s="18"/>
      <c r="N814" s="151"/>
      <c r="P814" s="20"/>
    </row>
    <row r="815">
      <c r="E815" s="151"/>
      <c r="F815" s="151"/>
      <c r="G815" s="18"/>
      <c r="K815" s="18"/>
      <c r="M815" s="18"/>
      <c r="N815" s="151"/>
      <c r="P815" s="20"/>
    </row>
    <row r="816">
      <c r="E816" s="151"/>
      <c r="F816" s="151"/>
      <c r="G816" s="18"/>
      <c r="K816" s="18"/>
      <c r="M816" s="18"/>
      <c r="N816" s="151"/>
      <c r="P816" s="20"/>
    </row>
    <row r="817">
      <c r="E817" s="151"/>
      <c r="F817" s="151"/>
      <c r="G817" s="18"/>
      <c r="K817" s="18"/>
      <c r="M817" s="18"/>
      <c r="N817" s="151"/>
      <c r="P817" s="20"/>
    </row>
    <row r="818">
      <c r="E818" s="151"/>
      <c r="F818" s="151"/>
      <c r="G818" s="18"/>
      <c r="K818" s="18"/>
      <c r="M818" s="18"/>
      <c r="N818" s="151"/>
      <c r="P818" s="20"/>
    </row>
    <row r="819">
      <c r="E819" s="151"/>
      <c r="F819" s="151"/>
      <c r="G819" s="18"/>
      <c r="K819" s="18"/>
      <c r="M819" s="18"/>
      <c r="N819" s="151"/>
      <c r="P819" s="20"/>
    </row>
    <row r="820">
      <c r="E820" s="151"/>
      <c r="F820" s="151"/>
      <c r="G820" s="18"/>
      <c r="K820" s="18"/>
      <c r="M820" s="18"/>
      <c r="N820" s="151"/>
      <c r="P820" s="20"/>
    </row>
    <row r="821">
      <c r="E821" s="151"/>
      <c r="F821" s="151"/>
      <c r="G821" s="18"/>
      <c r="K821" s="18"/>
      <c r="M821" s="18"/>
      <c r="N821" s="151"/>
      <c r="P821" s="20"/>
    </row>
    <row r="822">
      <c r="E822" s="151"/>
      <c r="F822" s="151"/>
      <c r="G822" s="18"/>
      <c r="K822" s="18"/>
      <c r="M822" s="18"/>
      <c r="N822" s="151"/>
      <c r="P822" s="20"/>
    </row>
    <row r="823">
      <c r="E823" s="151"/>
      <c r="F823" s="151"/>
      <c r="G823" s="18"/>
      <c r="K823" s="18"/>
      <c r="M823" s="18"/>
      <c r="N823" s="151"/>
      <c r="P823" s="20"/>
    </row>
    <row r="824">
      <c r="E824" s="151"/>
      <c r="F824" s="151"/>
      <c r="G824" s="18"/>
      <c r="K824" s="18"/>
      <c r="M824" s="18"/>
      <c r="N824" s="151"/>
      <c r="P824" s="20"/>
    </row>
    <row r="825">
      <c r="E825" s="151"/>
      <c r="F825" s="151"/>
      <c r="G825" s="18"/>
      <c r="K825" s="18"/>
      <c r="M825" s="18"/>
      <c r="N825" s="151"/>
      <c r="P825" s="20"/>
    </row>
    <row r="826">
      <c r="E826" s="151"/>
      <c r="F826" s="151"/>
      <c r="G826" s="18"/>
      <c r="K826" s="18"/>
      <c r="M826" s="18"/>
      <c r="N826" s="151"/>
      <c r="P826" s="20"/>
    </row>
    <row r="827">
      <c r="E827" s="151"/>
      <c r="F827" s="151"/>
      <c r="G827" s="18"/>
      <c r="K827" s="18"/>
      <c r="M827" s="18"/>
      <c r="N827" s="151"/>
      <c r="P827" s="20"/>
    </row>
    <row r="828">
      <c r="E828" s="151"/>
      <c r="F828" s="151"/>
      <c r="G828" s="18"/>
      <c r="K828" s="18"/>
      <c r="M828" s="18"/>
      <c r="N828" s="151"/>
      <c r="P828" s="20"/>
    </row>
    <row r="829">
      <c r="E829" s="151"/>
      <c r="F829" s="151"/>
      <c r="G829" s="18"/>
      <c r="K829" s="18"/>
      <c r="M829" s="18"/>
      <c r="N829" s="151"/>
      <c r="P829" s="20"/>
    </row>
    <row r="830">
      <c r="E830" s="151"/>
      <c r="F830" s="151"/>
      <c r="G830" s="18"/>
      <c r="K830" s="18"/>
      <c r="M830" s="18"/>
      <c r="N830" s="151"/>
      <c r="P830" s="20"/>
    </row>
    <row r="831">
      <c r="E831" s="151"/>
      <c r="F831" s="151"/>
      <c r="G831" s="18"/>
      <c r="K831" s="18"/>
      <c r="M831" s="18"/>
      <c r="N831" s="151"/>
      <c r="P831" s="20"/>
    </row>
    <row r="832">
      <c r="E832" s="151"/>
      <c r="F832" s="151"/>
      <c r="G832" s="18"/>
      <c r="K832" s="18"/>
      <c r="M832" s="18"/>
      <c r="N832" s="151"/>
      <c r="P832" s="20"/>
    </row>
    <row r="833">
      <c r="E833" s="151"/>
      <c r="F833" s="151"/>
      <c r="G833" s="18"/>
      <c r="K833" s="18"/>
      <c r="M833" s="18"/>
      <c r="N833" s="151"/>
      <c r="P833" s="20"/>
    </row>
    <row r="834">
      <c r="E834" s="151"/>
      <c r="F834" s="151"/>
      <c r="G834" s="18"/>
      <c r="K834" s="18"/>
      <c r="M834" s="18"/>
      <c r="N834" s="151"/>
      <c r="P834" s="20"/>
    </row>
    <row r="835">
      <c r="E835" s="151"/>
      <c r="F835" s="151"/>
      <c r="G835" s="18"/>
      <c r="K835" s="18"/>
      <c r="M835" s="18"/>
      <c r="N835" s="151"/>
      <c r="P835" s="20"/>
    </row>
    <row r="836">
      <c r="E836" s="151"/>
      <c r="F836" s="151"/>
      <c r="G836" s="18"/>
      <c r="K836" s="18"/>
      <c r="M836" s="18"/>
      <c r="N836" s="151"/>
      <c r="P836" s="20"/>
    </row>
    <row r="837">
      <c r="E837" s="151"/>
      <c r="F837" s="151"/>
      <c r="G837" s="18"/>
      <c r="K837" s="18"/>
      <c r="M837" s="18"/>
      <c r="N837" s="151"/>
      <c r="P837" s="20"/>
    </row>
    <row r="838">
      <c r="E838" s="151"/>
      <c r="F838" s="151"/>
      <c r="G838" s="18"/>
      <c r="K838" s="18"/>
      <c r="M838" s="18"/>
      <c r="N838" s="151"/>
      <c r="P838" s="20"/>
    </row>
    <row r="839">
      <c r="E839" s="151"/>
      <c r="F839" s="151"/>
      <c r="G839" s="18"/>
      <c r="K839" s="18"/>
      <c r="M839" s="18"/>
      <c r="N839" s="151"/>
      <c r="P839" s="20"/>
    </row>
    <row r="840">
      <c r="E840" s="151"/>
      <c r="F840" s="151"/>
      <c r="G840" s="18"/>
      <c r="K840" s="18"/>
      <c r="M840" s="18"/>
      <c r="N840" s="151"/>
      <c r="P840" s="20"/>
    </row>
    <row r="841">
      <c r="E841" s="151"/>
      <c r="F841" s="151"/>
      <c r="G841" s="18"/>
      <c r="K841" s="18"/>
      <c r="M841" s="18"/>
      <c r="N841" s="151"/>
      <c r="P841" s="20"/>
    </row>
    <row r="842">
      <c r="E842" s="151"/>
      <c r="F842" s="151"/>
      <c r="G842" s="18"/>
      <c r="K842" s="18"/>
      <c r="M842" s="18"/>
      <c r="N842" s="151"/>
      <c r="P842" s="20"/>
    </row>
    <row r="843">
      <c r="E843" s="151"/>
      <c r="F843" s="151"/>
      <c r="G843" s="18"/>
      <c r="K843" s="18"/>
      <c r="M843" s="18"/>
      <c r="N843" s="151"/>
      <c r="P843" s="20"/>
    </row>
    <row r="844">
      <c r="E844" s="151"/>
      <c r="F844" s="151"/>
      <c r="G844" s="18"/>
      <c r="K844" s="18"/>
      <c r="M844" s="18"/>
      <c r="N844" s="151"/>
      <c r="P844" s="20"/>
    </row>
    <row r="845">
      <c r="E845" s="151"/>
      <c r="F845" s="151"/>
      <c r="G845" s="18"/>
      <c r="K845" s="18"/>
      <c r="M845" s="18"/>
      <c r="N845" s="151"/>
      <c r="P845" s="20"/>
    </row>
    <row r="846">
      <c r="E846" s="151"/>
      <c r="F846" s="151"/>
      <c r="G846" s="18"/>
      <c r="K846" s="18"/>
      <c r="M846" s="18"/>
      <c r="N846" s="151"/>
      <c r="P846" s="20"/>
    </row>
    <row r="847">
      <c r="E847" s="151"/>
      <c r="F847" s="151"/>
      <c r="G847" s="18"/>
      <c r="K847" s="18"/>
      <c r="M847" s="18"/>
      <c r="N847" s="151"/>
      <c r="P847" s="20"/>
    </row>
    <row r="848">
      <c r="E848" s="151"/>
      <c r="F848" s="151"/>
      <c r="G848" s="18"/>
      <c r="K848" s="18"/>
      <c r="M848" s="18"/>
      <c r="N848" s="151"/>
      <c r="P848" s="20"/>
    </row>
    <row r="849">
      <c r="E849" s="151"/>
      <c r="F849" s="151"/>
      <c r="G849" s="18"/>
      <c r="K849" s="18"/>
      <c r="M849" s="18"/>
      <c r="N849" s="151"/>
      <c r="P849" s="20"/>
    </row>
    <row r="850">
      <c r="E850" s="151"/>
      <c r="F850" s="151"/>
      <c r="G850" s="18"/>
      <c r="K850" s="18"/>
      <c r="M850" s="18"/>
      <c r="N850" s="151"/>
      <c r="P850" s="20"/>
    </row>
    <row r="851">
      <c r="E851" s="151"/>
      <c r="F851" s="151"/>
      <c r="G851" s="18"/>
      <c r="K851" s="18"/>
      <c r="M851" s="18"/>
      <c r="N851" s="151"/>
      <c r="P851" s="20"/>
    </row>
    <row r="852">
      <c r="E852" s="151"/>
      <c r="F852" s="151"/>
      <c r="G852" s="18"/>
      <c r="K852" s="18"/>
      <c r="M852" s="18"/>
      <c r="N852" s="151"/>
      <c r="P852" s="20"/>
    </row>
    <row r="853">
      <c r="E853" s="151"/>
      <c r="F853" s="151"/>
      <c r="G853" s="18"/>
      <c r="K853" s="18"/>
      <c r="M853" s="18"/>
      <c r="N853" s="151"/>
      <c r="P853" s="20"/>
    </row>
    <row r="854">
      <c r="E854" s="151"/>
      <c r="F854" s="151"/>
      <c r="G854" s="18"/>
      <c r="K854" s="18"/>
      <c r="M854" s="18"/>
      <c r="N854" s="151"/>
      <c r="P854" s="20"/>
    </row>
    <row r="855">
      <c r="E855" s="151"/>
      <c r="F855" s="151"/>
      <c r="G855" s="18"/>
      <c r="K855" s="18"/>
      <c r="M855" s="18"/>
      <c r="N855" s="151"/>
      <c r="P855" s="20"/>
    </row>
    <row r="856">
      <c r="E856" s="151"/>
      <c r="F856" s="151"/>
      <c r="G856" s="18"/>
      <c r="K856" s="18"/>
      <c r="M856" s="18"/>
      <c r="N856" s="151"/>
      <c r="P856" s="20"/>
    </row>
    <row r="857">
      <c r="E857" s="151"/>
      <c r="F857" s="151"/>
      <c r="G857" s="18"/>
      <c r="K857" s="18"/>
      <c r="M857" s="18"/>
      <c r="N857" s="151"/>
      <c r="P857" s="20"/>
    </row>
    <row r="858">
      <c r="E858" s="151"/>
      <c r="F858" s="151"/>
      <c r="G858" s="18"/>
      <c r="K858" s="18"/>
      <c r="M858" s="18"/>
      <c r="N858" s="151"/>
      <c r="P858" s="20"/>
    </row>
    <row r="859">
      <c r="E859" s="151"/>
      <c r="F859" s="151"/>
      <c r="G859" s="18"/>
      <c r="K859" s="18"/>
      <c r="M859" s="18"/>
      <c r="N859" s="151"/>
      <c r="P859" s="20"/>
    </row>
    <row r="860">
      <c r="E860" s="151"/>
      <c r="F860" s="151"/>
      <c r="G860" s="18"/>
      <c r="K860" s="18"/>
      <c r="M860" s="18"/>
      <c r="N860" s="151"/>
      <c r="P860" s="20"/>
    </row>
    <row r="861">
      <c r="E861" s="151"/>
      <c r="F861" s="151"/>
      <c r="G861" s="18"/>
      <c r="K861" s="18"/>
      <c r="M861" s="18"/>
      <c r="N861" s="151"/>
      <c r="P861" s="20"/>
    </row>
    <row r="862">
      <c r="E862" s="151"/>
      <c r="F862" s="151"/>
      <c r="G862" s="18"/>
      <c r="K862" s="18"/>
      <c r="M862" s="18"/>
      <c r="N862" s="151"/>
      <c r="P862" s="20"/>
    </row>
    <row r="863">
      <c r="E863" s="151"/>
      <c r="F863" s="151"/>
      <c r="G863" s="18"/>
      <c r="K863" s="18"/>
      <c r="M863" s="18"/>
      <c r="N863" s="151"/>
      <c r="P863" s="20"/>
    </row>
    <row r="864">
      <c r="E864" s="151"/>
      <c r="F864" s="151"/>
      <c r="G864" s="18"/>
      <c r="K864" s="18"/>
      <c r="M864" s="18"/>
      <c r="N864" s="151"/>
      <c r="P864" s="20"/>
    </row>
    <row r="865">
      <c r="E865" s="151"/>
      <c r="F865" s="151"/>
      <c r="G865" s="18"/>
      <c r="K865" s="18"/>
      <c r="M865" s="18"/>
      <c r="N865" s="151"/>
      <c r="P865" s="20"/>
    </row>
    <row r="866">
      <c r="E866" s="151"/>
      <c r="F866" s="151"/>
      <c r="G866" s="18"/>
      <c r="K866" s="18"/>
      <c r="M866" s="18"/>
      <c r="N866" s="151"/>
      <c r="P866" s="20"/>
    </row>
    <row r="867">
      <c r="E867" s="151"/>
      <c r="F867" s="151"/>
      <c r="G867" s="18"/>
      <c r="K867" s="18"/>
      <c r="M867" s="18"/>
      <c r="N867" s="151"/>
      <c r="P867" s="20"/>
    </row>
    <row r="868">
      <c r="E868" s="151"/>
      <c r="F868" s="151"/>
      <c r="G868" s="18"/>
      <c r="K868" s="18"/>
      <c r="M868" s="18"/>
      <c r="N868" s="151"/>
      <c r="P868" s="20"/>
    </row>
    <row r="869">
      <c r="E869" s="151"/>
      <c r="F869" s="151"/>
      <c r="G869" s="18"/>
      <c r="K869" s="18"/>
      <c r="M869" s="18"/>
      <c r="N869" s="151"/>
      <c r="P869" s="20"/>
    </row>
    <row r="870">
      <c r="E870" s="151"/>
      <c r="F870" s="151"/>
      <c r="G870" s="18"/>
      <c r="K870" s="18"/>
      <c r="M870" s="18"/>
      <c r="N870" s="151"/>
      <c r="P870" s="20"/>
    </row>
    <row r="871">
      <c r="E871" s="151"/>
      <c r="F871" s="151"/>
      <c r="G871" s="18"/>
      <c r="K871" s="18"/>
      <c r="M871" s="18"/>
      <c r="N871" s="151"/>
      <c r="P871" s="20"/>
    </row>
    <row r="872">
      <c r="E872" s="151"/>
      <c r="F872" s="151"/>
      <c r="G872" s="18"/>
      <c r="K872" s="18"/>
      <c r="M872" s="18"/>
      <c r="N872" s="151"/>
      <c r="P872" s="20"/>
    </row>
    <row r="873">
      <c r="E873" s="151"/>
      <c r="F873" s="151"/>
      <c r="G873" s="18"/>
      <c r="K873" s="18"/>
      <c r="M873" s="18"/>
      <c r="N873" s="151"/>
      <c r="P873" s="20"/>
    </row>
    <row r="874">
      <c r="E874" s="151"/>
      <c r="F874" s="151"/>
      <c r="G874" s="18"/>
      <c r="K874" s="18"/>
      <c r="M874" s="18"/>
      <c r="N874" s="151"/>
      <c r="P874" s="20"/>
    </row>
    <row r="875">
      <c r="E875" s="151"/>
      <c r="F875" s="151"/>
      <c r="G875" s="18"/>
      <c r="K875" s="18"/>
      <c r="M875" s="18"/>
      <c r="N875" s="151"/>
      <c r="P875" s="20"/>
    </row>
    <row r="876">
      <c r="E876" s="151"/>
      <c r="F876" s="151"/>
      <c r="G876" s="18"/>
      <c r="K876" s="18"/>
      <c r="M876" s="18"/>
      <c r="N876" s="151"/>
      <c r="P876" s="20"/>
    </row>
    <row r="877">
      <c r="E877" s="151"/>
      <c r="F877" s="151"/>
      <c r="G877" s="18"/>
      <c r="K877" s="18"/>
      <c r="M877" s="18"/>
      <c r="N877" s="151"/>
      <c r="P877" s="20"/>
    </row>
    <row r="878">
      <c r="E878" s="151"/>
      <c r="F878" s="151"/>
      <c r="G878" s="18"/>
      <c r="K878" s="18"/>
      <c r="M878" s="18"/>
      <c r="N878" s="151"/>
      <c r="P878" s="20"/>
    </row>
    <row r="879">
      <c r="E879" s="151"/>
      <c r="F879" s="151"/>
      <c r="G879" s="18"/>
      <c r="K879" s="18"/>
      <c r="M879" s="18"/>
      <c r="N879" s="151"/>
      <c r="P879" s="20"/>
    </row>
    <row r="880">
      <c r="E880" s="151"/>
      <c r="F880" s="151"/>
      <c r="G880" s="18"/>
      <c r="K880" s="18"/>
      <c r="M880" s="18"/>
      <c r="N880" s="151"/>
      <c r="P880" s="20"/>
    </row>
    <row r="881">
      <c r="E881" s="151"/>
      <c r="F881" s="151"/>
      <c r="G881" s="18"/>
      <c r="K881" s="18"/>
      <c r="M881" s="18"/>
      <c r="N881" s="151"/>
      <c r="P881" s="20"/>
    </row>
    <row r="882">
      <c r="E882" s="151"/>
      <c r="F882" s="151"/>
      <c r="G882" s="18"/>
      <c r="K882" s="18"/>
      <c r="M882" s="18"/>
      <c r="N882" s="151"/>
      <c r="P882" s="20"/>
    </row>
    <row r="883">
      <c r="E883" s="151"/>
      <c r="F883" s="151"/>
      <c r="G883" s="18"/>
      <c r="K883" s="18"/>
      <c r="M883" s="18"/>
      <c r="N883" s="151"/>
      <c r="P883" s="20"/>
    </row>
    <row r="884">
      <c r="E884" s="151"/>
      <c r="F884" s="151"/>
      <c r="G884" s="18"/>
      <c r="K884" s="18"/>
      <c r="M884" s="18"/>
      <c r="N884" s="151"/>
      <c r="P884" s="20"/>
    </row>
    <row r="885">
      <c r="E885" s="151"/>
      <c r="F885" s="151"/>
      <c r="G885" s="18"/>
      <c r="K885" s="18"/>
      <c r="M885" s="18"/>
      <c r="N885" s="151"/>
      <c r="P885" s="20"/>
    </row>
    <row r="886">
      <c r="E886" s="151"/>
      <c r="F886" s="151"/>
      <c r="G886" s="18"/>
      <c r="K886" s="18"/>
      <c r="M886" s="18"/>
      <c r="N886" s="151"/>
      <c r="P886" s="20"/>
    </row>
    <row r="887">
      <c r="E887" s="151"/>
      <c r="F887" s="151"/>
      <c r="G887" s="18"/>
      <c r="K887" s="18"/>
      <c r="M887" s="18"/>
      <c r="N887" s="151"/>
      <c r="P887" s="20"/>
    </row>
    <row r="888">
      <c r="E888" s="151"/>
      <c r="F888" s="151"/>
      <c r="G888" s="18"/>
      <c r="K888" s="18"/>
      <c r="M888" s="18"/>
      <c r="N888" s="151"/>
      <c r="P888" s="20"/>
    </row>
    <row r="889">
      <c r="E889" s="151"/>
      <c r="F889" s="151"/>
      <c r="G889" s="18"/>
      <c r="K889" s="18"/>
      <c r="M889" s="18"/>
      <c r="N889" s="151"/>
      <c r="P889" s="20"/>
    </row>
    <row r="890">
      <c r="E890" s="151"/>
      <c r="F890" s="151"/>
      <c r="G890" s="18"/>
      <c r="K890" s="18"/>
      <c r="M890" s="18"/>
      <c r="N890" s="151"/>
      <c r="P890" s="20"/>
    </row>
    <row r="891">
      <c r="E891" s="151"/>
      <c r="F891" s="151"/>
      <c r="G891" s="18"/>
      <c r="K891" s="18"/>
      <c r="M891" s="18"/>
      <c r="N891" s="151"/>
      <c r="P891" s="20"/>
    </row>
    <row r="892">
      <c r="E892" s="151"/>
      <c r="F892" s="151"/>
      <c r="G892" s="18"/>
      <c r="K892" s="18"/>
      <c r="M892" s="18"/>
      <c r="N892" s="151"/>
      <c r="P892" s="20"/>
    </row>
    <row r="893">
      <c r="E893" s="151"/>
      <c r="F893" s="151"/>
      <c r="G893" s="18"/>
      <c r="K893" s="18"/>
      <c r="M893" s="18"/>
      <c r="N893" s="151"/>
      <c r="P893" s="20"/>
    </row>
    <row r="894">
      <c r="E894" s="151"/>
      <c r="F894" s="151"/>
      <c r="G894" s="18"/>
      <c r="K894" s="18"/>
      <c r="M894" s="18"/>
      <c r="N894" s="151"/>
      <c r="P894" s="20"/>
    </row>
    <row r="895">
      <c r="E895" s="151"/>
      <c r="F895" s="151"/>
      <c r="G895" s="18"/>
      <c r="K895" s="18"/>
      <c r="M895" s="18"/>
      <c r="N895" s="151"/>
      <c r="P895" s="20"/>
    </row>
    <row r="896">
      <c r="E896" s="151"/>
      <c r="F896" s="151"/>
      <c r="G896" s="18"/>
      <c r="K896" s="18"/>
      <c r="M896" s="18"/>
      <c r="N896" s="151"/>
      <c r="P896" s="20"/>
    </row>
    <row r="897">
      <c r="E897" s="151"/>
      <c r="F897" s="151"/>
      <c r="G897" s="18"/>
      <c r="K897" s="18"/>
      <c r="M897" s="18"/>
      <c r="N897" s="151"/>
      <c r="P897" s="20"/>
    </row>
    <row r="898">
      <c r="E898" s="151"/>
      <c r="F898" s="151"/>
      <c r="G898" s="18"/>
      <c r="K898" s="18"/>
      <c r="M898" s="18"/>
      <c r="N898" s="151"/>
      <c r="P898" s="20"/>
    </row>
    <row r="899">
      <c r="E899" s="151"/>
      <c r="F899" s="151"/>
      <c r="G899" s="18"/>
      <c r="K899" s="18"/>
      <c r="M899" s="18"/>
      <c r="N899" s="151"/>
      <c r="P899" s="20"/>
    </row>
    <row r="900">
      <c r="E900" s="151"/>
      <c r="F900" s="151"/>
      <c r="G900" s="18"/>
      <c r="K900" s="18"/>
      <c r="M900" s="18"/>
      <c r="N900" s="151"/>
      <c r="P900" s="20"/>
    </row>
    <row r="901">
      <c r="E901" s="151"/>
      <c r="F901" s="151"/>
      <c r="G901" s="18"/>
      <c r="K901" s="18"/>
      <c r="M901" s="18"/>
      <c r="N901" s="151"/>
      <c r="P901" s="20"/>
    </row>
    <row r="902">
      <c r="E902" s="151"/>
      <c r="F902" s="151"/>
      <c r="G902" s="18"/>
      <c r="K902" s="18"/>
      <c r="M902" s="18"/>
      <c r="N902" s="151"/>
      <c r="P902" s="20"/>
    </row>
    <row r="903">
      <c r="E903" s="151"/>
      <c r="F903" s="151"/>
      <c r="G903" s="18"/>
      <c r="K903" s="18"/>
      <c r="M903" s="18"/>
      <c r="N903" s="151"/>
      <c r="P903" s="20"/>
    </row>
    <row r="904">
      <c r="E904" s="151"/>
      <c r="F904" s="151"/>
      <c r="G904" s="18"/>
      <c r="K904" s="18"/>
      <c r="M904" s="18"/>
      <c r="N904" s="151"/>
      <c r="P904" s="20"/>
    </row>
    <row r="905">
      <c r="E905" s="151"/>
      <c r="F905" s="151"/>
      <c r="G905" s="18"/>
      <c r="K905" s="18"/>
      <c r="M905" s="18"/>
      <c r="N905" s="151"/>
      <c r="P905" s="20"/>
    </row>
    <row r="906">
      <c r="E906" s="151"/>
      <c r="F906" s="151"/>
      <c r="G906" s="18"/>
      <c r="K906" s="18"/>
      <c r="M906" s="18"/>
      <c r="N906" s="151"/>
      <c r="P906" s="20"/>
    </row>
    <row r="907">
      <c r="E907" s="151"/>
      <c r="F907" s="151"/>
      <c r="G907" s="18"/>
      <c r="K907" s="18"/>
      <c r="M907" s="18"/>
      <c r="N907" s="151"/>
      <c r="P907" s="20"/>
    </row>
    <row r="908">
      <c r="E908" s="151"/>
      <c r="F908" s="151"/>
      <c r="G908" s="18"/>
      <c r="K908" s="18"/>
      <c r="M908" s="18"/>
      <c r="N908" s="151"/>
      <c r="P908" s="20"/>
    </row>
    <row r="909">
      <c r="E909" s="151"/>
      <c r="F909" s="151"/>
      <c r="G909" s="18"/>
      <c r="K909" s="18"/>
      <c r="M909" s="18"/>
      <c r="N909" s="151"/>
      <c r="P909" s="20"/>
    </row>
    <row r="910">
      <c r="E910" s="151"/>
      <c r="F910" s="151"/>
      <c r="G910" s="18"/>
      <c r="K910" s="18"/>
      <c r="M910" s="18"/>
      <c r="N910" s="151"/>
      <c r="P910" s="20"/>
    </row>
    <row r="911">
      <c r="E911" s="151"/>
      <c r="F911" s="151"/>
      <c r="G911" s="18"/>
      <c r="K911" s="18"/>
      <c r="M911" s="18"/>
      <c r="N911" s="151"/>
      <c r="P911" s="20"/>
    </row>
    <row r="912">
      <c r="E912" s="151"/>
      <c r="F912" s="151"/>
      <c r="G912" s="18"/>
      <c r="K912" s="18"/>
      <c r="M912" s="18"/>
      <c r="N912" s="151"/>
      <c r="P912" s="20"/>
    </row>
    <row r="913">
      <c r="E913" s="151"/>
      <c r="F913" s="151"/>
      <c r="G913" s="18"/>
      <c r="K913" s="18"/>
      <c r="M913" s="18"/>
      <c r="N913" s="151"/>
      <c r="P913" s="20"/>
    </row>
    <row r="914">
      <c r="E914" s="151"/>
      <c r="F914" s="151"/>
      <c r="G914" s="18"/>
      <c r="K914" s="18"/>
      <c r="M914" s="18"/>
      <c r="N914" s="151"/>
      <c r="P914" s="20"/>
    </row>
    <row r="915">
      <c r="E915" s="151"/>
      <c r="F915" s="151"/>
      <c r="G915" s="18"/>
      <c r="K915" s="18"/>
      <c r="M915" s="18"/>
      <c r="N915" s="151"/>
      <c r="P915" s="20"/>
    </row>
    <row r="916">
      <c r="E916" s="151"/>
      <c r="F916" s="151"/>
      <c r="G916" s="18"/>
      <c r="K916" s="18"/>
      <c r="M916" s="18"/>
      <c r="N916" s="151"/>
      <c r="P916" s="20"/>
    </row>
    <row r="917">
      <c r="E917" s="151"/>
      <c r="F917" s="151"/>
      <c r="G917" s="18"/>
      <c r="K917" s="18"/>
      <c r="M917" s="18"/>
      <c r="N917" s="151"/>
      <c r="P917" s="20"/>
    </row>
    <row r="918">
      <c r="E918" s="151"/>
      <c r="F918" s="151"/>
      <c r="G918" s="18"/>
      <c r="K918" s="18"/>
      <c r="M918" s="18"/>
      <c r="N918" s="151"/>
      <c r="P918" s="20"/>
    </row>
    <row r="919">
      <c r="E919" s="151"/>
      <c r="F919" s="151"/>
      <c r="G919" s="18"/>
      <c r="K919" s="18"/>
      <c r="M919" s="18"/>
      <c r="N919" s="151"/>
      <c r="P919" s="20"/>
    </row>
    <row r="920">
      <c r="E920" s="151"/>
      <c r="F920" s="151"/>
      <c r="G920" s="18"/>
      <c r="K920" s="18"/>
      <c r="M920" s="18"/>
      <c r="N920" s="151"/>
      <c r="P920" s="20"/>
    </row>
    <row r="921">
      <c r="E921" s="151"/>
      <c r="F921" s="151"/>
      <c r="G921" s="18"/>
      <c r="K921" s="18"/>
      <c r="M921" s="18"/>
      <c r="N921" s="151"/>
      <c r="P921" s="20"/>
    </row>
    <row r="922">
      <c r="E922" s="151"/>
      <c r="F922" s="151"/>
      <c r="G922" s="18"/>
      <c r="K922" s="18"/>
      <c r="M922" s="18"/>
      <c r="N922" s="151"/>
      <c r="P922" s="20"/>
    </row>
    <row r="923">
      <c r="E923" s="151"/>
      <c r="F923" s="151"/>
      <c r="G923" s="18"/>
      <c r="K923" s="18"/>
      <c r="M923" s="18"/>
      <c r="N923" s="151"/>
      <c r="P923" s="20"/>
    </row>
    <row r="924">
      <c r="E924" s="151"/>
      <c r="F924" s="151"/>
      <c r="G924" s="18"/>
      <c r="K924" s="18"/>
      <c r="M924" s="18"/>
      <c r="N924" s="151"/>
      <c r="P924" s="20"/>
    </row>
    <row r="925">
      <c r="E925" s="151"/>
      <c r="F925" s="151"/>
      <c r="G925" s="18"/>
      <c r="K925" s="18"/>
      <c r="M925" s="18"/>
      <c r="N925" s="151"/>
      <c r="P925" s="20"/>
    </row>
    <row r="926">
      <c r="E926" s="151"/>
      <c r="F926" s="151"/>
      <c r="G926" s="18"/>
      <c r="K926" s="18"/>
      <c r="M926" s="18"/>
      <c r="N926" s="151"/>
      <c r="P926" s="20"/>
    </row>
    <row r="927">
      <c r="E927" s="151"/>
      <c r="F927" s="151"/>
      <c r="G927" s="18"/>
      <c r="K927" s="18"/>
      <c r="M927" s="18"/>
      <c r="N927" s="151"/>
      <c r="P927" s="20"/>
    </row>
    <row r="928">
      <c r="E928" s="151"/>
      <c r="F928" s="151"/>
      <c r="G928" s="18"/>
      <c r="K928" s="18"/>
      <c r="M928" s="18"/>
      <c r="N928" s="151"/>
      <c r="P928" s="20"/>
    </row>
    <row r="929">
      <c r="E929" s="151"/>
      <c r="F929" s="151"/>
      <c r="G929" s="18"/>
      <c r="K929" s="18"/>
      <c r="M929" s="18"/>
      <c r="N929" s="151"/>
      <c r="P929" s="20"/>
    </row>
    <row r="930">
      <c r="E930" s="151"/>
      <c r="F930" s="151"/>
      <c r="G930" s="18"/>
      <c r="K930" s="18"/>
      <c r="M930" s="18"/>
      <c r="N930" s="151"/>
      <c r="P930" s="20"/>
    </row>
    <row r="931">
      <c r="E931" s="151"/>
      <c r="F931" s="151"/>
      <c r="G931" s="18"/>
      <c r="K931" s="18"/>
      <c r="M931" s="18"/>
      <c r="N931" s="151"/>
      <c r="P931" s="20"/>
    </row>
    <row r="932">
      <c r="E932" s="151"/>
      <c r="F932" s="151"/>
      <c r="G932" s="18"/>
      <c r="K932" s="18"/>
      <c r="M932" s="18"/>
      <c r="N932" s="151"/>
      <c r="P932" s="20"/>
    </row>
    <row r="933">
      <c r="E933" s="151"/>
      <c r="F933" s="151"/>
      <c r="G933" s="18"/>
      <c r="K933" s="18"/>
      <c r="M933" s="18"/>
      <c r="N933" s="151"/>
      <c r="P933" s="20"/>
    </row>
    <row r="934">
      <c r="E934" s="151"/>
      <c r="F934" s="151"/>
      <c r="G934" s="18"/>
      <c r="K934" s="18"/>
      <c r="M934" s="18"/>
      <c r="N934" s="151"/>
      <c r="P934" s="20"/>
    </row>
    <row r="935">
      <c r="E935" s="151"/>
      <c r="F935" s="151"/>
      <c r="G935" s="18"/>
      <c r="K935" s="18"/>
      <c r="M935" s="18"/>
      <c r="N935" s="151"/>
      <c r="P935" s="20"/>
    </row>
    <row r="936">
      <c r="E936" s="151"/>
      <c r="F936" s="151"/>
      <c r="G936" s="18"/>
      <c r="K936" s="18"/>
      <c r="M936" s="18"/>
      <c r="N936" s="151"/>
      <c r="P936" s="20"/>
    </row>
    <row r="937">
      <c r="E937" s="151"/>
      <c r="F937" s="151"/>
      <c r="G937" s="18"/>
      <c r="K937" s="18"/>
      <c r="M937" s="18"/>
      <c r="N937" s="151"/>
      <c r="P937" s="20"/>
    </row>
    <row r="938">
      <c r="E938" s="151"/>
      <c r="F938" s="151"/>
      <c r="G938" s="18"/>
      <c r="K938" s="18"/>
      <c r="M938" s="18"/>
      <c r="N938" s="151"/>
      <c r="P938" s="20"/>
    </row>
    <row r="939">
      <c r="E939" s="151"/>
      <c r="F939" s="151"/>
      <c r="G939" s="18"/>
      <c r="K939" s="18"/>
      <c r="M939" s="18"/>
      <c r="N939" s="151"/>
      <c r="P939" s="20"/>
    </row>
    <row r="940">
      <c r="E940" s="151"/>
      <c r="F940" s="151"/>
      <c r="G940" s="18"/>
      <c r="K940" s="18"/>
      <c r="M940" s="18"/>
      <c r="N940" s="151"/>
      <c r="P940" s="20"/>
    </row>
    <row r="941">
      <c r="E941" s="151"/>
      <c r="F941" s="151"/>
      <c r="G941" s="18"/>
      <c r="K941" s="18"/>
      <c r="M941" s="18"/>
      <c r="N941" s="151"/>
      <c r="P941" s="20"/>
    </row>
    <row r="942">
      <c r="E942" s="151"/>
      <c r="F942" s="151"/>
      <c r="G942" s="18"/>
      <c r="K942" s="18"/>
      <c r="M942" s="18"/>
      <c r="N942" s="151"/>
      <c r="P942" s="20"/>
    </row>
    <row r="943">
      <c r="E943" s="151"/>
      <c r="F943" s="151"/>
      <c r="G943" s="18"/>
      <c r="K943" s="18"/>
      <c r="M943" s="18"/>
      <c r="N943" s="151"/>
      <c r="P943" s="20"/>
    </row>
    <row r="944">
      <c r="E944" s="151"/>
      <c r="F944" s="151"/>
      <c r="G944" s="18"/>
      <c r="K944" s="18"/>
      <c r="M944" s="18"/>
      <c r="N944" s="151"/>
      <c r="P944" s="20"/>
    </row>
    <row r="945">
      <c r="E945" s="151"/>
      <c r="F945" s="151"/>
      <c r="G945" s="18"/>
      <c r="K945" s="18"/>
      <c r="M945" s="18"/>
      <c r="N945" s="151"/>
      <c r="P945" s="20"/>
    </row>
    <row r="946">
      <c r="E946" s="151"/>
      <c r="F946" s="151"/>
      <c r="G946" s="18"/>
      <c r="K946" s="18"/>
      <c r="M946" s="18"/>
      <c r="N946" s="151"/>
      <c r="P946" s="20"/>
    </row>
    <row r="947">
      <c r="E947" s="151"/>
      <c r="F947" s="151"/>
      <c r="G947" s="18"/>
      <c r="K947" s="18"/>
      <c r="M947" s="18"/>
      <c r="N947" s="151"/>
      <c r="P947" s="20"/>
    </row>
    <row r="948">
      <c r="E948" s="151"/>
      <c r="F948" s="151"/>
      <c r="G948" s="18"/>
      <c r="K948" s="18"/>
      <c r="M948" s="18"/>
      <c r="N948" s="151"/>
      <c r="P948" s="20"/>
    </row>
    <row r="949">
      <c r="E949" s="151"/>
      <c r="F949" s="151"/>
      <c r="G949" s="18"/>
      <c r="K949" s="18"/>
      <c r="M949" s="18"/>
      <c r="N949" s="151"/>
      <c r="P949" s="20"/>
    </row>
    <row r="950">
      <c r="E950" s="151"/>
      <c r="F950" s="151"/>
      <c r="G950" s="18"/>
      <c r="K950" s="18"/>
      <c r="M950" s="18"/>
      <c r="N950" s="151"/>
      <c r="P950" s="20"/>
    </row>
    <row r="951">
      <c r="E951" s="151"/>
      <c r="F951" s="151"/>
      <c r="G951" s="18"/>
      <c r="K951" s="18"/>
      <c r="M951" s="18"/>
      <c r="N951" s="151"/>
      <c r="P951" s="20"/>
    </row>
    <row r="952">
      <c r="E952" s="151"/>
      <c r="F952" s="151"/>
      <c r="G952" s="18"/>
      <c r="K952" s="18"/>
      <c r="M952" s="18"/>
      <c r="N952" s="151"/>
      <c r="P952" s="20"/>
    </row>
    <row r="953">
      <c r="E953" s="151"/>
      <c r="F953" s="151"/>
      <c r="G953" s="18"/>
      <c r="K953" s="18"/>
      <c r="M953" s="18"/>
      <c r="N953" s="151"/>
      <c r="P953" s="20"/>
    </row>
    <row r="954">
      <c r="E954" s="151"/>
      <c r="F954" s="151"/>
      <c r="G954" s="18"/>
      <c r="K954" s="18"/>
      <c r="M954" s="18"/>
      <c r="N954" s="151"/>
      <c r="P954" s="20"/>
    </row>
    <row r="955">
      <c r="E955" s="151"/>
      <c r="F955" s="151"/>
      <c r="G955" s="18"/>
      <c r="K955" s="18"/>
      <c r="M955" s="18"/>
      <c r="N955" s="151"/>
      <c r="P955" s="20"/>
    </row>
    <row r="956">
      <c r="E956" s="151"/>
      <c r="F956" s="151"/>
      <c r="G956" s="18"/>
      <c r="K956" s="18"/>
      <c r="M956" s="18"/>
      <c r="N956" s="151"/>
      <c r="P956" s="20"/>
    </row>
    <row r="957">
      <c r="E957" s="151"/>
      <c r="F957" s="151"/>
      <c r="G957" s="18"/>
      <c r="K957" s="18"/>
      <c r="M957" s="18"/>
      <c r="N957" s="151"/>
      <c r="P957" s="20"/>
    </row>
    <row r="958">
      <c r="E958" s="151"/>
      <c r="F958" s="151"/>
      <c r="G958" s="18"/>
      <c r="K958" s="18"/>
      <c r="M958" s="18"/>
      <c r="N958" s="151"/>
      <c r="P958" s="20"/>
    </row>
    <row r="959">
      <c r="E959" s="151"/>
      <c r="F959" s="151"/>
      <c r="G959" s="18"/>
      <c r="K959" s="18"/>
      <c r="M959" s="18"/>
      <c r="N959" s="151"/>
      <c r="P959" s="20"/>
    </row>
    <row r="960">
      <c r="E960" s="151"/>
      <c r="F960" s="151"/>
      <c r="G960" s="18"/>
      <c r="K960" s="18"/>
      <c r="M960" s="18"/>
      <c r="N960" s="151"/>
      <c r="P960" s="20"/>
    </row>
    <row r="961">
      <c r="E961" s="151"/>
      <c r="F961" s="151"/>
      <c r="G961" s="18"/>
      <c r="K961" s="18"/>
      <c r="M961" s="18"/>
      <c r="N961" s="151"/>
      <c r="P961" s="20"/>
    </row>
    <row r="962">
      <c r="E962" s="151"/>
      <c r="F962" s="151"/>
      <c r="G962" s="18"/>
      <c r="K962" s="18"/>
      <c r="M962" s="18"/>
      <c r="N962" s="151"/>
      <c r="P962" s="20"/>
    </row>
    <row r="963">
      <c r="E963" s="151"/>
      <c r="F963" s="151"/>
      <c r="G963" s="18"/>
      <c r="K963" s="18"/>
      <c r="M963" s="18"/>
      <c r="N963" s="151"/>
      <c r="P963" s="20"/>
    </row>
    <row r="964">
      <c r="E964" s="151"/>
      <c r="F964" s="151"/>
      <c r="G964" s="18"/>
      <c r="K964" s="18"/>
      <c r="M964" s="18"/>
      <c r="N964" s="151"/>
      <c r="P964" s="20"/>
    </row>
    <row r="965">
      <c r="E965" s="151"/>
      <c r="F965" s="151"/>
      <c r="G965" s="18"/>
      <c r="K965" s="18"/>
      <c r="M965" s="18"/>
      <c r="N965" s="151"/>
      <c r="P965" s="20"/>
    </row>
    <row r="966">
      <c r="E966" s="151"/>
      <c r="F966" s="151"/>
      <c r="G966" s="18"/>
      <c r="K966" s="18"/>
      <c r="M966" s="18"/>
      <c r="N966" s="151"/>
      <c r="P966" s="20"/>
    </row>
    <row r="967">
      <c r="E967" s="151"/>
      <c r="F967" s="151"/>
      <c r="G967" s="18"/>
      <c r="K967" s="18"/>
      <c r="M967" s="18"/>
      <c r="N967" s="151"/>
      <c r="P967" s="20"/>
    </row>
    <row r="968">
      <c r="E968" s="151"/>
      <c r="F968" s="151"/>
      <c r="G968" s="18"/>
      <c r="K968" s="18"/>
      <c r="M968" s="18"/>
      <c r="N968" s="151"/>
      <c r="P968" s="20"/>
    </row>
    <row r="969">
      <c r="E969" s="151"/>
      <c r="F969" s="151"/>
      <c r="G969" s="18"/>
      <c r="K969" s="18"/>
      <c r="M969" s="18"/>
      <c r="N969" s="151"/>
      <c r="P969" s="20"/>
    </row>
    <row r="970">
      <c r="E970" s="151"/>
      <c r="F970" s="151"/>
      <c r="G970" s="18"/>
      <c r="K970" s="18"/>
      <c r="M970" s="18"/>
      <c r="N970" s="151"/>
      <c r="P970" s="20"/>
    </row>
    <row r="971">
      <c r="E971" s="151"/>
      <c r="F971" s="151"/>
      <c r="G971" s="18"/>
      <c r="K971" s="18"/>
      <c r="M971" s="18"/>
      <c r="N971" s="151"/>
      <c r="P971" s="20"/>
    </row>
    <row r="972">
      <c r="E972" s="151"/>
      <c r="F972" s="151"/>
      <c r="G972" s="18"/>
      <c r="K972" s="18"/>
      <c r="M972" s="18"/>
      <c r="N972" s="151"/>
      <c r="P972" s="20"/>
    </row>
    <row r="973">
      <c r="E973" s="151"/>
      <c r="F973" s="151"/>
      <c r="G973" s="18"/>
      <c r="K973" s="18"/>
      <c r="M973" s="18"/>
      <c r="N973" s="151"/>
      <c r="P973" s="20"/>
    </row>
    <row r="974">
      <c r="E974" s="151"/>
      <c r="F974" s="151"/>
      <c r="G974" s="18"/>
      <c r="K974" s="18"/>
      <c r="M974" s="18"/>
      <c r="N974" s="151"/>
      <c r="P974" s="20"/>
    </row>
    <row r="975">
      <c r="E975" s="151"/>
      <c r="F975" s="151"/>
      <c r="G975" s="18"/>
      <c r="K975" s="18"/>
      <c r="M975" s="18"/>
      <c r="N975" s="151"/>
      <c r="P975" s="20"/>
    </row>
    <row r="976">
      <c r="E976" s="151"/>
      <c r="F976" s="151"/>
      <c r="G976" s="18"/>
      <c r="K976" s="18"/>
      <c r="M976" s="18"/>
      <c r="N976" s="151"/>
      <c r="P976" s="20"/>
    </row>
    <row r="977">
      <c r="E977" s="151"/>
      <c r="F977" s="151"/>
      <c r="G977" s="18"/>
      <c r="K977" s="18"/>
      <c r="M977" s="18"/>
      <c r="N977" s="151"/>
      <c r="P977" s="20"/>
    </row>
    <row r="978">
      <c r="E978" s="151"/>
      <c r="F978" s="151"/>
      <c r="G978" s="18"/>
      <c r="K978" s="18"/>
      <c r="M978" s="18"/>
      <c r="N978" s="151"/>
      <c r="P978" s="20"/>
    </row>
    <row r="979">
      <c r="E979" s="151"/>
      <c r="F979" s="151"/>
      <c r="G979" s="18"/>
      <c r="K979" s="18"/>
      <c r="M979" s="18"/>
      <c r="N979" s="151"/>
      <c r="P979" s="20"/>
    </row>
    <row r="980">
      <c r="E980" s="151"/>
      <c r="F980" s="151"/>
      <c r="G980" s="18"/>
      <c r="K980" s="18"/>
      <c r="M980" s="18"/>
      <c r="N980" s="151"/>
      <c r="P980" s="20"/>
    </row>
    <row r="981">
      <c r="E981" s="151"/>
      <c r="F981" s="151"/>
      <c r="G981" s="18"/>
      <c r="K981" s="18"/>
      <c r="M981" s="18"/>
      <c r="N981" s="151"/>
      <c r="P981" s="20"/>
    </row>
    <row r="982">
      <c r="E982" s="151"/>
      <c r="F982" s="151"/>
      <c r="G982" s="18"/>
      <c r="K982" s="18"/>
      <c r="M982" s="18"/>
      <c r="N982" s="151"/>
      <c r="P982" s="20"/>
    </row>
    <row r="983">
      <c r="E983" s="151"/>
      <c r="F983" s="151"/>
      <c r="G983" s="18"/>
      <c r="K983" s="18"/>
      <c r="M983" s="18"/>
      <c r="N983" s="151"/>
      <c r="P983" s="20"/>
    </row>
    <row r="984">
      <c r="E984" s="151"/>
      <c r="F984" s="151"/>
      <c r="G984" s="18"/>
      <c r="K984" s="18"/>
      <c r="M984" s="18"/>
      <c r="N984" s="151"/>
      <c r="P984" s="20"/>
    </row>
    <row r="985">
      <c r="E985" s="151"/>
      <c r="F985" s="151"/>
      <c r="G985" s="18"/>
      <c r="K985" s="18"/>
      <c r="M985" s="18"/>
      <c r="N985" s="151"/>
      <c r="P985" s="20"/>
    </row>
    <row r="986">
      <c r="E986" s="151"/>
      <c r="F986" s="151"/>
      <c r="G986" s="18"/>
      <c r="K986" s="18"/>
      <c r="M986" s="18"/>
      <c r="N986" s="151"/>
      <c r="P986" s="20"/>
    </row>
    <row r="987">
      <c r="E987" s="151"/>
      <c r="F987" s="151"/>
      <c r="G987" s="18"/>
      <c r="K987" s="18"/>
      <c r="M987" s="18"/>
      <c r="N987" s="151"/>
      <c r="P987" s="20"/>
    </row>
    <row r="988">
      <c r="E988" s="151"/>
      <c r="F988" s="151"/>
      <c r="G988" s="18"/>
      <c r="K988" s="18"/>
      <c r="M988" s="18"/>
      <c r="N988" s="151"/>
      <c r="P988" s="20"/>
    </row>
    <row r="989">
      <c r="E989" s="151"/>
      <c r="F989" s="151"/>
      <c r="G989" s="18"/>
      <c r="K989" s="18"/>
      <c r="M989" s="18"/>
      <c r="N989" s="151"/>
      <c r="P989" s="20"/>
    </row>
    <row r="990">
      <c r="E990" s="151"/>
      <c r="F990" s="151"/>
      <c r="G990" s="18"/>
      <c r="K990" s="18"/>
      <c r="M990" s="18"/>
      <c r="N990" s="151"/>
      <c r="P990" s="20"/>
    </row>
    <row r="991">
      <c r="E991" s="151"/>
      <c r="F991" s="151"/>
      <c r="G991" s="18"/>
      <c r="K991" s="18"/>
      <c r="M991" s="18"/>
      <c r="N991" s="151"/>
      <c r="P991" s="20"/>
    </row>
    <row r="992">
      <c r="E992" s="151"/>
      <c r="F992" s="151"/>
      <c r="G992" s="18"/>
      <c r="K992" s="18"/>
      <c r="M992" s="18"/>
      <c r="N992" s="151"/>
      <c r="P992" s="20"/>
    </row>
    <row r="993">
      <c r="E993" s="151"/>
      <c r="F993" s="151"/>
      <c r="G993" s="18"/>
      <c r="K993" s="18"/>
      <c r="M993" s="18"/>
      <c r="N993" s="151"/>
      <c r="P993" s="20"/>
    </row>
    <row r="994">
      <c r="E994" s="151"/>
      <c r="F994" s="151"/>
      <c r="G994" s="18"/>
      <c r="K994" s="18"/>
      <c r="M994" s="18"/>
      <c r="N994" s="151"/>
      <c r="P994" s="20"/>
    </row>
    <row r="995">
      <c r="E995" s="151"/>
      <c r="F995" s="151"/>
      <c r="G995" s="18"/>
      <c r="K995" s="18"/>
      <c r="M995" s="18"/>
      <c r="N995" s="151"/>
      <c r="P995" s="20"/>
    </row>
    <row r="996">
      <c r="E996" s="151"/>
      <c r="F996" s="151"/>
      <c r="G996" s="18"/>
      <c r="K996" s="18"/>
      <c r="M996" s="18"/>
      <c r="N996" s="151"/>
      <c r="P996" s="20"/>
    </row>
    <row r="997">
      <c r="E997" s="151"/>
      <c r="F997" s="151"/>
      <c r="G997" s="18"/>
      <c r="K997" s="18"/>
      <c r="M997" s="18"/>
      <c r="N997" s="151"/>
      <c r="P997" s="20"/>
    </row>
    <row r="998">
      <c r="E998" s="151"/>
      <c r="F998" s="151"/>
      <c r="G998" s="18"/>
      <c r="K998" s="18"/>
      <c r="M998" s="18"/>
      <c r="N998" s="151"/>
      <c r="P998" s="20"/>
    </row>
    <row r="999">
      <c r="E999" s="151"/>
      <c r="F999" s="151"/>
      <c r="G999" s="18"/>
      <c r="K999" s="18"/>
      <c r="M999" s="18"/>
      <c r="N999" s="151"/>
      <c r="P999" s="20"/>
    </row>
    <row r="1000">
      <c r="E1000" s="151"/>
      <c r="F1000" s="151"/>
      <c r="G1000" s="18"/>
      <c r="K1000" s="18"/>
      <c r="M1000" s="18"/>
      <c r="N1000" s="151"/>
      <c r="P1000" s="20"/>
    </row>
    <row r="1001">
      <c r="E1001" s="151"/>
      <c r="F1001" s="151"/>
      <c r="G1001" s="18"/>
      <c r="K1001" s="18"/>
      <c r="M1001" s="18"/>
      <c r="N1001" s="151"/>
      <c r="P1001" s="20"/>
    </row>
    <row r="1002">
      <c r="E1002" s="151"/>
      <c r="F1002" s="151"/>
      <c r="G1002" s="18"/>
      <c r="K1002" s="18"/>
      <c r="M1002" s="18"/>
      <c r="N1002" s="151"/>
      <c r="P1002" s="20"/>
    </row>
    <row r="1003">
      <c r="E1003" s="151"/>
      <c r="F1003" s="151"/>
      <c r="G1003" s="18"/>
      <c r="K1003" s="18"/>
      <c r="M1003" s="18"/>
      <c r="N1003" s="151"/>
      <c r="P1003" s="20"/>
    </row>
    <row r="1004">
      <c r="E1004" s="151"/>
      <c r="F1004" s="151"/>
      <c r="G1004" s="18"/>
      <c r="K1004" s="18"/>
      <c r="M1004" s="18"/>
      <c r="N1004" s="151"/>
      <c r="P1004" s="20"/>
    </row>
    <row r="1005">
      <c r="E1005" s="151"/>
      <c r="F1005" s="151"/>
      <c r="G1005" s="18"/>
      <c r="K1005" s="18"/>
      <c r="M1005" s="18"/>
      <c r="N1005" s="151"/>
      <c r="P1005" s="20"/>
    </row>
    <row r="1006">
      <c r="E1006" s="151"/>
      <c r="F1006" s="151"/>
      <c r="G1006" s="18"/>
      <c r="K1006" s="18"/>
      <c r="M1006" s="18"/>
      <c r="N1006" s="151"/>
      <c r="P1006" s="20"/>
    </row>
    <row r="1007">
      <c r="E1007" s="151"/>
      <c r="F1007" s="151"/>
      <c r="G1007" s="18"/>
      <c r="K1007" s="18"/>
      <c r="M1007" s="18"/>
      <c r="N1007" s="151"/>
      <c r="P1007" s="20"/>
    </row>
    <row r="1008">
      <c r="E1008" s="151"/>
      <c r="F1008" s="151"/>
      <c r="G1008" s="18"/>
      <c r="K1008" s="18"/>
      <c r="M1008" s="18"/>
      <c r="N1008" s="151"/>
      <c r="P1008" s="20"/>
    </row>
    <row r="1009">
      <c r="E1009" s="151"/>
      <c r="F1009" s="151"/>
      <c r="G1009" s="18"/>
      <c r="K1009" s="18"/>
      <c r="M1009" s="18"/>
      <c r="N1009" s="151"/>
      <c r="P1009" s="20"/>
    </row>
    <row r="1010">
      <c r="E1010" s="151"/>
      <c r="F1010" s="151"/>
      <c r="G1010" s="18"/>
      <c r="K1010" s="18"/>
      <c r="M1010" s="18"/>
      <c r="N1010" s="151"/>
      <c r="P1010" s="20"/>
    </row>
    <row r="1011">
      <c r="E1011" s="151"/>
      <c r="F1011" s="151"/>
      <c r="G1011" s="18"/>
      <c r="K1011" s="18"/>
      <c r="M1011" s="18"/>
      <c r="N1011" s="151"/>
      <c r="P1011" s="20"/>
    </row>
    <row r="1012">
      <c r="E1012" s="151"/>
      <c r="F1012" s="151"/>
      <c r="G1012" s="18"/>
      <c r="K1012" s="18"/>
      <c r="M1012" s="18"/>
      <c r="N1012" s="151"/>
      <c r="P1012" s="20"/>
    </row>
    <row r="1013">
      <c r="E1013" s="151"/>
      <c r="F1013" s="151"/>
      <c r="G1013" s="18"/>
      <c r="K1013" s="18"/>
      <c r="M1013" s="18"/>
      <c r="N1013" s="151"/>
      <c r="P1013" s="20"/>
    </row>
    <row r="1014">
      <c r="E1014" s="151"/>
      <c r="F1014" s="151"/>
      <c r="G1014" s="18"/>
      <c r="K1014" s="18"/>
      <c r="M1014" s="18"/>
      <c r="N1014" s="151"/>
      <c r="P1014" s="20"/>
    </row>
    <row r="1015">
      <c r="E1015" s="151"/>
      <c r="F1015" s="151"/>
      <c r="G1015" s="18"/>
      <c r="K1015" s="18"/>
      <c r="M1015" s="18"/>
      <c r="N1015" s="151"/>
      <c r="P1015" s="20"/>
    </row>
    <row r="1016">
      <c r="E1016" s="151"/>
      <c r="F1016" s="151"/>
      <c r="G1016" s="18"/>
      <c r="K1016" s="18"/>
      <c r="M1016" s="18"/>
      <c r="N1016" s="151"/>
      <c r="P1016" s="20"/>
    </row>
    <row r="1017">
      <c r="E1017" s="151"/>
      <c r="F1017" s="151"/>
      <c r="G1017" s="18"/>
      <c r="K1017" s="18"/>
      <c r="M1017" s="18"/>
      <c r="N1017" s="151"/>
      <c r="P1017" s="20"/>
    </row>
    <row r="1018">
      <c r="E1018" s="151"/>
      <c r="F1018" s="151"/>
      <c r="G1018" s="18"/>
      <c r="K1018" s="18"/>
      <c r="M1018" s="18"/>
      <c r="N1018" s="151"/>
      <c r="P1018" s="20"/>
    </row>
    <row r="1019">
      <c r="E1019" s="151"/>
      <c r="F1019" s="151"/>
      <c r="G1019" s="18"/>
      <c r="K1019" s="18"/>
      <c r="M1019" s="18"/>
      <c r="N1019" s="151"/>
      <c r="P1019" s="20"/>
    </row>
    <row r="1020">
      <c r="E1020" s="151"/>
      <c r="F1020" s="151"/>
      <c r="G1020" s="18"/>
      <c r="K1020" s="18"/>
      <c r="M1020" s="18"/>
      <c r="N1020" s="151"/>
      <c r="P1020" s="20"/>
    </row>
    <row r="1021">
      <c r="E1021" s="151"/>
      <c r="F1021" s="151"/>
      <c r="G1021" s="18"/>
      <c r="K1021" s="18"/>
      <c r="M1021" s="18"/>
      <c r="N1021" s="151"/>
      <c r="P1021" s="20"/>
    </row>
    <row r="1022">
      <c r="E1022" s="151"/>
      <c r="F1022" s="151"/>
      <c r="G1022" s="18"/>
      <c r="K1022" s="18"/>
      <c r="M1022" s="18"/>
      <c r="N1022" s="151"/>
      <c r="P1022" s="20"/>
    </row>
    <row r="1023">
      <c r="E1023" s="151"/>
      <c r="F1023" s="151"/>
      <c r="G1023" s="18"/>
      <c r="K1023" s="18"/>
      <c r="M1023" s="18"/>
      <c r="N1023" s="151"/>
      <c r="P1023" s="20"/>
    </row>
    <row r="1024">
      <c r="E1024" s="151"/>
      <c r="F1024" s="151"/>
      <c r="G1024" s="18"/>
      <c r="K1024" s="18"/>
      <c r="M1024" s="18"/>
      <c r="N1024" s="151"/>
      <c r="P1024" s="20"/>
    </row>
    <row r="1025">
      <c r="E1025" s="151"/>
      <c r="F1025" s="151"/>
      <c r="G1025" s="18"/>
      <c r="K1025" s="18"/>
      <c r="M1025" s="18"/>
      <c r="N1025" s="151"/>
      <c r="P1025" s="20"/>
    </row>
    <row r="1026">
      <c r="E1026" s="151"/>
      <c r="F1026" s="151"/>
      <c r="G1026" s="18"/>
      <c r="K1026" s="18"/>
      <c r="M1026" s="18"/>
      <c r="N1026" s="151"/>
      <c r="P1026" s="20"/>
    </row>
    <row r="1027">
      <c r="E1027" s="151"/>
      <c r="F1027" s="151"/>
      <c r="G1027" s="18"/>
      <c r="K1027" s="18"/>
      <c r="M1027" s="18"/>
      <c r="N1027" s="151"/>
      <c r="P1027" s="20"/>
    </row>
    <row r="1028">
      <c r="E1028" s="151"/>
      <c r="F1028" s="151"/>
      <c r="G1028" s="18"/>
      <c r="K1028" s="18"/>
      <c r="M1028" s="18"/>
      <c r="N1028" s="151"/>
      <c r="P1028" s="20"/>
    </row>
    <row r="1029">
      <c r="E1029" s="151"/>
      <c r="F1029" s="151"/>
      <c r="G1029" s="18"/>
      <c r="K1029" s="18"/>
      <c r="M1029" s="18"/>
      <c r="N1029" s="151"/>
      <c r="P1029" s="20"/>
    </row>
    <row r="1030">
      <c r="E1030" s="151"/>
      <c r="F1030" s="151"/>
      <c r="G1030" s="18"/>
      <c r="K1030" s="18"/>
      <c r="M1030" s="18"/>
      <c r="N1030" s="151"/>
      <c r="P1030" s="20"/>
    </row>
    <row r="1031">
      <c r="E1031" s="151"/>
      <c r="F1031" s="151"/>
      <c r="G1031" s="18"/>
      <c r="K1031" s="18"/>
      <c r="M1031" s="18"/>
      <c r="N1031" s="151"/>
      <c r="P1031" s="20"/>
    </row>
    <row r="1032">
      <c r="E1032" s="151"/>
      <c r="F1032" s="151"/>
      <c r="G1032" s="18"/>
      <c r="K1032" s="18"/>
      <c r="M1032" s="18"/>
      <c r="N1032" s="151"/>
      <c r="P1032" s="20"/>
    </row>
    <row r="1033">
      <c r="E1033" s="151"/>
      <c r="F1033" s="151"/>
      <c r="G1033" s="18"/>
      <c r="K1033" s="18"/>
      <c r="M1033" s="18"/>
      <c r="N1033" s="151"/>
      <c r="P1033" s="20"/>
    </row>
    <row r="1034">
      <c r="E1034" s="151"/>
      <c r="F1034" s="151"/>
      <c r="G1034" s="18"/>
      <c r="K1034" s="18"/>
      <c r="M1034" s="18"/>
      <c r="N1034" s="151"/>
      <c r="P1034" s="20"/>
    </row>
    <row r="1035">
      <c r="E1035" s="151"/>
      <c r="F1035" s="151"/>
      <c r="G1035" s="18"/>
      <c r="K1035" s="18"/>
      <c r="M1035" s="18"/>
      <c r="N1035" s="151"/>
      <c r="P1035" s="20"/>
    </row>
    <row r="1036">
      <c r="E1036" s="151"/>
      <c r="F1036" s="151"/>
      <c r="G1036" s="18"/>
      <c r="K1036" s="18"/>
      <c r="M1036" s="18"/>
      <c r="N1036" s="151"/>
      <c r="P1036" s="20"/>
    </row>
    <row r="1037">
      <c r="E1037" s="151"/>
      <c r="F1037" s="151"/>
      <c r="G1037" s="18"/>
      <c r="K1037" s="18"/>
      <c r="M1037" s="18"/>
      <c r="N1037" s="151"/>
      <c r="P1037" s="20"/>
    </row>
    <row r="1038">
      <c r="E1038" s="151"/>
      <c r="F1038" s="151"/>
      <c r="G1038" s="18"/>
      <c r="K1038" s="18"/>
      <c r="M1038" s="18"/>
      <c r="N1038" s="151"/>
      <c r="P1038" s="20"/>
    </row>
    <row r="1039">
      <c r="E1039" s="151"/>
      <c r="F1039" s="151"/>
      <c r="G1039" s="18"/>
      <c r="K1039" s="18"/>
      <c r="M1039" s="18"/>
      <c r="N1039" s="151"/>
      <c r="P1039" s="20"/>
    </row>
    <row r="1040">
      <c r="E1040" s="151"/>
      <c r="F1040" s="151"/>
      <c r="G1040" s="18"/>
      <c r="K1040" s="18"/>
      <c r="M1040" s="18"/>
      <c r="N1040" s="151"/>
      <c r="P1040" s="20"/>
    </row>
    <row r="1041">
      <c r="E1041" s="151"/>
      <c r="F1041" s="151"/>
      <c r="G1041" s="18"/>
      <c r="K1041" s="18"/>
      <c r="M1041" s="18"/>
      <c r="N1041" s="151"/>
      <c r="P1041" s="20"/>
    </row>
    <row r="1042">
      <c r="E1042" s="151"/>
      <c r="F1042" s="151"/>
      <c r="G1042" s="18"/>
      <c r="K1042" s="18"/>
      <c r="M1042" s="18"/>
      <c r="N1042" s="151"/>
      <c r="P1042" s="20"/>
    </row>
    <row r="1043">
      <c r="E1043" s="151"/>
      <c r="F1043" s="151"/>
      <c r="G1043" s="18"/>
      <c r="K1043" s="18"/>
      <c r="M1043" s="18"/>
      <c r="N1043" s="151"/>
      <c r="P1043" s="20"/>
    </row>
    <row r="1044">
      <c r="E1044" s="151"/>
      <c r="F1044" s="151"/>
      <c r="G1044" s="18"/>
      <c r="K1044" s="18"/>
      <c r="M1044" s="18"/>
      <c r="N1044" s="151"/>
      <c r="P1044" s="20"/>
    </row>
    <row r="1045">
      <c r="E1045" s="151"/>
      <c r="F1045" s="151"/>
      <c r="G1045" s="18"/>
      <c r="K1045" s="18"/>
      <c r="M1045" s="18"/>
      <c r="N1045" s="151"/>
      <c r="P1045" s="20"/>
    </row>
    <row r="1046">
      <c r="E1046" s="151"/>
      <c r="F1046" s="151"/>
      <c r="G1046" s="18"/>
      <c r="K1046" s="18"/>
      <c r="M1046" s="18"/>
      <c r="N1046" s="151"/>
      <c r="P1046" s="20"/>
    </row>
    <row r="1047">
      <c r="E1047" s="151"/>
      <c r="F1047" s="151"/>
      <c r="G1047" s="18"/>
      <c r="K1047" s="18"/>
      <c r="M1047" s="18"/>
      <c r="N1047" s="151"/>
      <c r="P1047" s="20"/>
    </row>
    <row r="1048">
      <c r="E1048" s="151"/>
      <c r="F1048" s="151"/>
      <c r="G1048" s="18"/>
      <c r="K1048" s="18"/>
      <c r="M1048" s="18"/>
      <c r="N1048" s="151"/>
      <c r="P1048" s="20"/>
    </row>
    <row r="1049">
      <c r="E1049" s="151"/>
      <c r="F1049" s="151"/>
      <c r="G1049" s="18"/>
      <c r="K1049" s="18"/>
      <c r="M1049" s="18"/>
      <c r="N1049" s="151"/>
      <c r="P1049" s="20"/>
    </row>
    <row r="1050">
      <c r="E1050" s="151"/>
      <c r="F1050" s="151"/>
      <c r="G1050" s="18"/>
      <c r="K1050" s="18"/>
      <c r="M1050" s="18"/>
      <c r="N1050" s="151"/>
      <c r="P1050" s="20"/>
    </row>
    <row r="1051">
      <c r="E1051" s="151"/>
      <c r="F1051" s="151"/>
      <c r="G1051" s="18"/>
      <c r="K1051" s="18"/>
      <c r="M1051" s="18"/>
      <c r="N1051" s="151"/>
      <c r="P1051" s="20"/>
    </row>
    <row r="1052">
      <c r="E1052" s="151"/>
      <c r="F1052" s="151"/>
      <c r="G1052" s="18"/>
      <c r="K1052" s="18"/>
      <c r="M1052" s="18"/>
      <c r="N1052" s="151"/>
      <c r="P1052" s="20"/>
    </row>
    <row r="1053">
      <c r="E1053" s="151"/>
      <c r="F1053" s="151"/>
      <c r="G1053" s="18"/>
      <c r="K1053" s="18"/>
      <c r="M1053" s="18"/>
      <c r="N1053" s="151"/>
      <c r="P1053" s="20"/>
    </row>
    <row r="1054">
      <c r="E1054" s="151"/>
      <c r="F1054" s="151"/>
      <c r="G1054" s="18"/>
      <c r="K1054" s="18"/>
      <c r="M1054" s="18"/>
      <c r="N1054" s="152" t="s">
        <v>574</v>
      </c>
      <c r="P1054" s="20"/>
    </row>
    <row r="1055">
      <c r="E1055" s="151"/>
      <c r="F1055" s="151"/>
      <c r="G1055" s="18"/>
      <c r="K1055" s="18"/>
      <c r="M1055" s="18"/>
      <c r="N1055" s="152" t="s">
        <v>574</v>
      </c>
      <c r="P1055" s="20"/>
    </row>
    <row r="1056">
      <c r="E1056" s="151"/>
      <c r="F1056" s="151"/>
      <c r="G1056" s="18"/>
      <c r="K1056" s="18"/>
      <c r="M1056" s="18"/>
      <c r="N1056" s="152" t="s">
        <v>575</v>
      </c>
      <c r="P1056" s="20"/>
    </row>
  </sheetData>
  <mergeCells count="6">
    <mergeCell ref="B1:N2"/>
    <mergeCell ref="Q19:R19"/>
    <mergeCell ref="Q28:R28"/>
    <mergeCell ref="Q36:R36"/>
    <mergeCell ref="Q54:R54"/>
    <mergeCell ref="T54:U54"/>
  </mergeCells>
  <dataValidations>
    <dataValidation type="list" allowBlank="1" sqref="G19:G355">
      <formula1>"None,Improper,Insecure  Deserialization,Cross Site Scripting (XSS),Security Misconfiguration,Broken Acess Control,XML External Entities ( XXE ),Injection,Broken Authentication,Sensitive Data Exspose"</formula1>
    </dataValidation>
    <dataValidation type="list" allowBlank="1" sqref="I19:I355">
      <formula1>"Critical,High,Medium,Low,Recomendation,None"</formula1>
    </dataValidation>
    <dataValidation type="list" allowBlank="1" sqref="J19:J355">
      <formula1>"New,Retesting,Resolved,None,No Fix"</formula1>
    </dataValidation>
    <dataValidation type="list" allowBlank="1" sqref="K19:K355">
      <formula1>"Created,Progress"</formula1>
    </dataValidation>
    <dataValidation type="list" allowBlank="1" sqref="M19:M355">
      <formula1>"Week 1,Week 2,Week 3,Week 4,Week 5,Week 6,Week 7,Week 8,Week 9,Weak 10,Weak 11,Weak 12,Weak 13,Weak 14,Weak 15,Weak 16,Weak 17,Weak 18,Weak 19,Weak 20,Weak 21"</formula1>
    </dataValidation>
  </dataValidations>
  <hyperlinks>
    <hyperlink r:id="rId1" ref="L19"/>
    <hyperlink r:id="rId2" ref="O19"/>
    <hyperlink r:id="rId3" ref="D20"/>
    <hyperlink r:id="rId4" ref="L20"/>
    <hyperlink r:id="rId5" ref="O20"/>
    <hyperlink r:id="rId6" ref="D21"/>
    <hyperlink r:id="rId7" ref="L21"/>
    <hyperlink r:id="rId8" ref="O21"/>
    <hyperlink r:id="rId9" ref="D22"/>
    <hyperlink r:id="rId10" ref="L22"/>
    <hyperlink r:id="rId11" ref="O22"/>
    <hyperlink r:id="rId12" ref="D23"/>
    <hyperlink r:id="rId13" ref="L23"/>
    <hyperlink r:id="rId14" ref="O23"/>
    <hyperlink r:id="rId15" ref="D24"/>
    <hyperlink r:id="rId16" ref="L24"/>
    <hyperlink r:id="rId17" ref="O24"/>
    <hyperlink r:id="rId18" ref="D25"/>
    <hyperlink r:id="rId19" ref="L25"/>
    <hyperlink r:id="rId20" ref="O25"/>
    <hyperlink r:id="rId21" ref="D26"/>
    <hyperlink r:id="rId22" ref="L26"/>
    <hyperlink r:id="rId23" ref="O26"/>
    <hyperlink r:id="rId24" ref="L27"/>
    <hyperlink r:id="rId25" ref="O27"/>
    <hyperlink r:id="rId26" ref="L28"/>
    <hyperlink r:id="rId27" ref="O28"/>
    <hyperlink r:id="rId28" ref="L29"/>
    <hyperlink r:id="rId29" ref="O29"/>
    <hyperlink r:id="rId30" ref="D30"/>
    <hyperlink r:id="rId31" ref="L30"/>
    <hyperlink r:id="rId32" ref="O30"/>
    <hyperlink r:id="rId33" ref="D31"/>
    <hyperlink r:id="rId34" ref="L31"/>
    <hyperlink r:id="rId35" ref="O31"/>
    <hyperlink r:id="rId36" ref="D32"/>
    <hyperlink r:id="rId37" ref="L32"/>
    <hyperlink r:id="rId38" ref="O32"/>
    <hyperlink r:id="rId39" ref="L33"/>
    <hyperlink r:id="rId40" ref="O33"/>
    <hyperlink r:id="rId41" ref="L34"/>
    <hyperlink r:id="rId42" ref="O34"/>
    <hyperlink r:id="rId43" ref="L35"/>
    <hyperlink r:id="rId44" ref="O35"/>
    <hyperlink r:id="rId45" ref="D36"/>
    <hyperlink r:id="rId46" ref="L36"/>
    <hyperlink r:id="rId47" ref="O36"/>
    <hyperlink r:id="rId48" ref="D37"/>
    <hyperlink r:id="rId49" ref="L37"/>
    <hyperlink r:id="rId50" ref="O37"/>
    <hyperlink r:id="rId51" ref="D38"/>
    <hyperlink r:id="rId52" ref="L38"/>
    <hyperlink r:id="rId53" ref="O38"/>
    <hyperlink r:id="rId54" ref="D39"/>
    <hyperlink r:id="rId55" ref="L39"/>
    <hyperlink r:id="rId56" ref="O39"/>
    <hyperlink r:id="rId57" ref="D40"/>
    <hyperlink r:id="rId58" ref="L40"/>
    <hyperlink r:id="rId59" ref="O40"/>
    <hyperlink r:id="rId60" ref="D41"/>
    <hyperlink r:id="rId61" ref="L41"/>
    <hyperlink r:id="rId62" ref="O41"/>
    <hyperlink r:id="rId63" ref="D42"/>
    <hyperlink r:id="rId64" ref="L42"/>
    <hyperlink r:id="rId65" ref="O42"/>
    <hyperlink r:id="rId66" ref="D43"/>
    <hyperlink r:id="rId67" ref="L43"/>
    <hyperlink r:id="rId68" ref="O43"/>
    <hyperlink r:id="rId69" ref="D44"/>
    <hyperlink r:id="rId70" ref="L44"/>
    <hyperlink r:id="rId71" ref="O44"/>
    <hyperlink r:id="rId72" ref="D45"/>
    <hyperlink r:id="rId73" ref="L45"/>
    <hyperlink r:id="rId74" ref="O45"/>
    <hyperlink r:id="rId75" ref="D46"/>
    <hyperlink r:id="rId76" ref="L46"/>
    <hyperlink r:id="rId77" ref="O46"/>
    <hyperlink r:id="rId78" ref="D47"/>
    <hyperlink r:id="rId79" ref="L47"/>
    <hyperlink r:id="rId80" ref="O47"/>
    <hyperlink r:id="rId81" ref="D48"/>
    <hyperlink r:id="rId82" ref="L48"/>
    <hyperlink r:id="rId83" ref="O48"/>
    <hyperlink r:id="rId84" ref="D49"/>
    <hyperlink r:id="rId85" ref="L49"/>
    <hyperlink r:id="rId86" ref="O49"/>
    <hyperlink r:id="rId87" ref="D50"/>
    <hyperlink r:id="rId88" ref="L50"/>
    <hyperlink r:id="rId89" ref="O50"/>
    <hyperlink r:id="rId90" ref="D51"/>
    <hyperlink r:id="rId91" ref="L51"/>
    <hyperlink r:id="rId92" ref="O51"/>
    <hyperlink r:id="rId93" ref="D52"/>
    <hyperlink r:id="rId94" ref="L52"/>
    <hyperlink r:id="rId95" ref="O52"/>
    <hyperlink r:id="rId96" ref="D53"/>
    <hyperlink r:id="rId97" ref="L53"/>
    <hyperlink r:id="rId98" ref="O53"/>
    <hyperlink r:id="rId99" ref="D54"/>
    <hyperlink r:id="rId100" ref="L54"/>
    <hyperlink r:id="rId101" ref="O54"/>
    <hyperlink r:id="rId102" ref="D55"/>
    <hyperlink r:id="rId103" ref="L55"/>
    <hyperlink r:id="rId104" ref="O55"/>
    <hyperlink r:id="rId105" ref="D56"/>
    <hyperlink r:id="rId106" ref="L56"/>
    <hyperlink r:id="rId107" ref="O56"/>
    <hyperlink r:id="rId108" ref="D57"/>
    <hyperlink r:id="rId109" ref="L57"/>
    <hyperlink r:id="rId110" ref="O57"/>
    <hyperlink r:id="rId111" ref="D58"/>
    <hyperlink r:id="rId112" ref="L58"/>
    <hyperlink r:id="rId113" ref="O58"/>
    <hyperlink r:id="rId114" ref="D59"/>
    <hyperlink r:id="rId115" ref="L59"/>
    <hyperlink r:id="rId116" ref="O59"/>
    <hyperlink r:id="rId117" ref="D60"/>
    <hyperlink r:id="rId118" ref="L60"/>
    <hyperlink r:id="rId119" ref="O60"/>
    <hyperlink r:id="rId120" ref="D61"/>
    <hyperlink r:id="rId121" ref="L61"/>
    <hyperlink r:id="rId122" ref="O61"/>
    <hyperlink r:id="rId123" ref="D62"/>
    <hyperlink r:id="rId124" ref="L62"/>
    <hyperlink r:id="rId125" ref="O62"/>
    <hyperlink r:id="rId126" ref="D63"/>
    <hyperlink r:id="rId127" ref="L63"/>
    <hyperlink r:id="rId128" ref="O63"/>
    <hyperlink r:id="rId129" ref="D64"/>
    <hyperlink r:id="rId130" ref="L64"/>
    <hyperlink r:id="rId131" ref="O64"/>
    <hyperlink r:id="rId132" ref="D65"/>
    <hyperlink r:id="rId133" ref="L65"/>
    <hyperlink r:id="rId134" ref="O65"/>
    <hyperlink r:id="rId135" ref="D66"/>
    <hyperlink r:id="rId136" ref="L66"/>
    <hyperlink r:id="rId137" ref="O66"/>
    <hyperlink r:id="rId138" ref="D67"/>
    <hyperlink r:id="rId139" ref="L67"/>
    <hyperlink r:id="rId140" ref="O67"/>
    <hyperlink r:id="rId141" ref="D68"/>
    <hyperlink r:id="rId142" ref="L68"/>
    <hyperlink r:id="rId143" ref="O68"/>
    <hyperlink r:id="rId144" ref="D69"/>
    <hyperlink r:id="rId145" ref="L69"/>
    <hyperlink r:id="rId146" ref="O69"/>
    <hyperlink r:id="rId147" ref="D70"/>
    <hyperlink r:id="rId148" ref="L70"/>
    <hyperlink r:id="rId149" ref="O70"/>
    <hyperlink r:id="rId150" ref="D71"/>
    <hyperlink r:id="rId151" ref="L71"/>
    <hyperlink r:id="rId152" ref="O71"/>
    <hyperlink r:id="rId153" ref="D72"/>
    <hyperlink r:id="rId154" ref="L72"/>
    <hyperlink r:id="rId155" ref="O72"/>
    <hyperlink r:id="rId156" ref="D73"/>
    <hyperlink r:id="rId157" ref="L73"/>
    <hyperlink r:id="rId158" ref="O73"/>
    <hyperlink r:id="rId159" ref="D74"/>
    <hyperlink r:id="rId160" ref="L74"/>
    <hyperlink r:id="rId161" ref="O74"/>
    <hyperlink r:id="rId162" ref="D75"/>
    <hyperlink r:id="rId163" ref="L75"/>
    <hyperlink r:id="rId164" ref="O75"/>
    <hyperlink r:id="rId165" ref="D76"/>
    <hyperlink r:id="rId166" ref="L76"/>
    <hyperlink r:id="rId167" ref="O76"/>
    <hyperlink r:id="rId168" ref="D77"/>
    <hyperlink r:id="rId169" ref="L77"/>
    <hyperlink r:id="rId170" ref="O77"/>
    <hyperlink r:id="rId171" ref="D78"/>
    <hyperlink r:id="rId172" ref="L78"/>
    <hyperlink r:id="rId173" ref="O78"/>
    <hyperlink r:id="rId174" ref="D79"/>
    <hyperlink r:id="rId175" ref="L79"/>
    <hyperlink r:id="rId176" ref="O79"/>
    <hyperlink r:id="rId177" ref="D80"/>
    <hyperlink r:id="rId178" ref="L80"/>
    <hyperlink r:id="rId179" ref="O80"/>
    <hyperlink r:id="rId180" ref="D81"/>
    <hyperlink r:id="rId181" ref="L81"/>
    <hyperlink r:id="rId182" ref="O81"/>
    <hyperlink r:id="rId183" ref="D82"/>
    <hyperlink r:id="rId184" ref="L82"/>
    <hyperlink r:id="rId185" ref="O82"/>
    <hyperlink r:id="rId186" ref="D83"/>
    <hyperlink r:id="rId187" ref="L83"/>
    <hyperlink r:id="rId188" ref="O83"/>
    <hyperlink r:id="rId189" ref="D84"/>
    <hyperlink r:id="rId190" ref="L84"/>
    <hyperlink r:id="rId191" ref="O84"/>
    <hyperlink r:id="rId192" ref="D85"/>
    <hyperlink r:id="rId193" ref="L85"/>
    <hyperlink r:id="rId194" ref="O85"/>
    <hyperlink r:id="rId195" ref="D86"/>
    <hyperlink r:id="rId196" ref="L86"/>
    <hyperlink r:id="rId197" ref="O86"/>
    <hyperlink r:id="rId198" ref="D87"/>
    <hyperlink r:id="rId199" ref="L87"/>
    <hyperlink r:id="rId200" ref="O87"/>
    <hyperlink r:id="rId201" ref="D88"/>
    <hyperlink r:id="rId202" ref="L88"/>
    <hyperlink r:id="rId203" ref="O88"/>
    <hyperlink r:id="rId204" ref="D89"/>
    <hyperlink r:id="rId205" ref="L89"/>
    <hyperlink r:id="rId206" ref="O89"/>
    <hyperlink r:id="rId207" ref="D90"/>
    <hyperlink r:id="rId208" ref="L90"/>
    <hyperlink r:id="rId209" ref="O90"/>
    <hyperlink r:id="rId210" ref="D91"/>
    <hyperlink r:id="rId211" ref="L91"/>
    <hyperlink r:id="rId212" ref="O91"/>
    <hyperlink r:id="rId213" ref="D92"/>
    <hyperlink r:id="rId214" ref="L92"/>
    <hyperlink r:id="rId215" ref="O92"/>
    <hyperlink r:id="rId216" ref="D93"/>
    <hyperlink r:id="rId217" ref="L93"/>
    <hyperlink r:id="rId218" ref="O93"/>
    <hyperlink r:id="rId219" ref="D94"/>
    <hyperlink r:id="rId220" ref="L94"/>
    <hyperlink r:id="rId221" ref="O94"/>
    <hyperlink r:id="rId222" ref="D96"/>
    <hyperlink r:id="rId223" ref="L96"/>
    <hyperlink r:id="rId224" ref="D97"/>
    <hyperlink r:id="rId225" ref="L97"/>
    <hyperlink r:id="rId226" ref="L98"/>
    <hyperlink r:id="rId227" ref="D99"/>
    <hyperlink r:id="rId228" ref="L99"/>
    <hyperlink r:id="rId229" ref="D100"/>
    <hyperlink r:id="rId230" ref="L100"/>
    <hyperlink r:id="rId231" ref="D101"/>
    <hyperlink r:id="rId232" ref="L101"/>
    <hyperlink r:id="rId233" ref="D102"/>
    <hyperlink r:id="rId234" ref="L102"/>
    <hyperlink r:id="rId235" ref="D103"/>
    <hyperlink r:id="rId236" ref="L103"/>
    <hyperlink r:id="rId237" ref="D104"/>
    <hyperlink r:id="rId238" ref="L104"/>
    <hyperlink r:id="rId239" ref="D105"/>
    <hyperlink r:id="rId240" ref="L105"/>
    <hyperlink r:id="rId241" ref="D106"/>
    <hyperlink r:id="rId242" ref="L106"/>
    <hyperlink r:id="rId243" ref="D107"/>
    <hyperlink r:id="rId244" ref="L107"/>
    <hyperlink r:id="rId245" ref="D108"/>
    <hyperlink r:id="rId246" ref="L108"/>
    <hyperlink r:id="rId247" ref="D109"/>
    <hyperlink r:id="rId248" ref="L109"/>
    <hyperlink r:id="rId249" ref="D110"/>
    <hyperlink r:id="rId250" ref="L110"/>
    <hyperlink r:id="rId251" ref="D111"/>
    <hyperlink r:id="rId252" ref="L111"/>
    <hyperlink r:id="rId253" ref="D112"/>
    <hyperlink r:id="rId254" ref="L112"/>
    <hyperlink r:id="rId255" ref="D113"/>
    <hyperlink r:id="rId256" ref="L113"/>
    <hyperlink r:id="rId257" ref="D114"/>
    <hyperlink r:id="rId258" ref="L114"/>
    <hyperlink r:id="rId259" ref="D132"/>
    <hyperlink r:id="rId260" ref="L132"/>
    <hyperlink r:id="rId261" ref="D133"/>
    <hyperlink r:id="rId262" ref="L133"/>
    <hyperlink r:id="rId263" ref="D134"/>
    <hyperlink r:id="rId264" ref="L134"/>
    <hyperlink r:id="rId265" ref="D135"/>
    <hyperlink r:id="rId266" ref="L135"/>
    <hyperlink r:id="rId267" ref="D136"/>
    <hyperlink r:id="rId268" ref="L136"/>
    <hyperlink r:id="rId269" ref="D137"/>
    <hyperlink r:id="rId270" ref="L137"/>
    <hyperlink r:id="rId271" ref="D138"/>
    <hyperlink r:id="rId272" ref="L138"/>
    <hyperlink r:id="rId273" ref="D140"/>
    <hyperlink r:id="rId274" ref="L140"/>
    <hyperlink r:id="rId275" ref="D141"/>
    <hyperlink r:id="rId276" ref="L141"/>
    <hyperlink r:id="rId277" ref="D142"/>
    <hyperlink r:id="rId278" ref="L142"/>
    <hyperlink r:id="rId279" ref="D143"/>
    <hyperlink r:id="rId280" ref="L143"/>
    <hyperlink r:id="rId281" ref="D144"/>
    <hyperlink r:id="rId282" ref="L144"/>
    <hyperlink r:id="rId283" ref="D145"/>
    <hyperlink r:id="rId284" ref="L145"/>
    <hyperlink r:id="rId285" ref="D157"/>
    <hyperlink r:id="rId286" ref="L157"/>
    <hyperlink r:id="rId287" ref="D158"/>
    <hyperlink r:id="rId288" ref="L158"/>
    <hyperlink r:id="rId289" ref="D159"/>
    <hyperlink r:id="rId290" ref="L159"/>
    <hyperlink r:id="rId291" ref="D160"/>
    <hyperlink r:id="rId292" ref="L160"/>
    <hyperlink r:id="rId293" ref="D161"/>
    <hyperlink r:id="rId294" ref="L161"/>
    <hyperlink r:id="rId295" ref="D162"/>
    <hyperlink r:id="rId296" ref="L162"/>
    <hyperlink r:id="rId297" ref="L163"/>
    <hyperlink r:id="rId298" ref="D164"/>
    <hyperlink r:id="rId299" ref="D182"/>
    <hyperlink r:id="rId300" ref="L182"/>
    <hyperlink r:id="rId301" ref="D183"/>
    <hyperlink r:id="rId302" ref="L183"/>
    <hyperlink r:id="rId303" ref="D184"/>
    <hyperlink r:id="rId304" ref="L184"/>
    <hyperlink r:id="rId305" ref="D185"/>
    <hyperlink r:id="rId306" ref="L185"/>
    <hyperlink r:id="rId307" ref="D186"/>
    <hyperlink r:id="rId308" ref="L186"/>
    <hyperlink r:id="rId309" ref="D187"/>
    <hyperlink r:id="rId310" ref="L187"/>
    <hyperlink r:id="rId311" ref="D188"/>
    <hyperlink r:id="rId312" ref="L188"/>
    <hyperlink r:id="rId313" ref="D189"/>
    <hyperlink r:id="rId314" ref="L189"/>
    <hyperlink r:id="rId315" ref="D190"/>
    <hyperlink r:id="rId316" ref="L190"/>
    <hyperlink r:id="rId317" ref="D191"/>
    <hyperlink r:id="rId318" ref="L191"/>
    <hyperlink r:id="rId319" ref="D192"/>
    <hyperlink r:id="rId320" ref="L192"/>
    <hyperlink r:id="rId321" ref="D193"/>
    <hyperlink r:id="rId322" ref="L193"/>
    <hyperlink r:id="rId323" ref="D194"/>
    <hyperlink r:id="rId324" ref="L194"/>
    <hyperlink r:id="rId325" ref="D195"/>
    <hyperlink r:id="rId326" ref="L195"/>
    <hyperlink r:id="rId327" ref="D196"/>
    <hyperlink r:id="rId328" ref="L196"/>
    <hyperlink r:id="rId329" ref="D197"/>
    <hyperlink r:id="rId330" ref="L197"/>
    <hyperlink r:id="rId331" ref="D198"/>
    <hyperlink r:id="rId332" ref="L198"/>
    <hyperlink r:id="rId333" ref="D199"/>
    <hyperlink r:id="rId334" ref="L199"/>
    <hyperlink r:id="rId335" ref="D200"/>
    <hyperlink r:id="rId336" ref="L200"/>
    <hyperlink r:id="rId337" ref="D201"/>
    <hyperlink r:id="rId338" ref="L201"/>
    <hyperlink r:id="rId339" ref="D202"/>
    <hyperlink r:id="rId340" ref="L202"/>
    <hyperlink r:id="rId341" ref="D203"/>
    <hyperlink r:id="rId342" ref="L203"/>
    <hyperlink r:id="rId343" ref="D204"/>
    <hyperlink r:id="rId344" ref="L204"/>
    <hyperlink r:id="rId345" ref="D205"/>
    <hyperlink r:id="rId346" ref="L205"/>
    <hyperlink r:id="rId347" ref="D206"/>
    <hyperlink r:id="rId348" ref="L206"/>
    <hyperlink r:id="rId349" ref="D207"/>
    <hyperlink r:id="rId350" ref="L207"/>
    <hyperlink r:id="rId351" ref="D208"/>
    <hyperlink r:id="rId352" ref="L208"/>
    <hyperlink r:id="rId353" ref="D209"/>
    <hyperlink r:id="rId354" ref="L209"/>
    <hyperlink r:id="rId355" ref="D210"/>
    <hyperlink r:id="rId356" ref="L210"/>
    <hyperlink r:id="rId357" ref="D211"/>
    <hyperlink r:id="rId358" ref="L211"/>
    <hyperlink r:id="rId359" ref="D212"/>
    <hyperlink r:id="rId360" ref="L212"/>
    <hyperlink r:id="rId361" ref="D213"/>
    <hyperlink r:id="rId362" ref="L213"/>
    <hyperlink r:id="rId363" ref="D214"/>
    <hyperlink r:id="rId364" ref="L214"/>
    <hyperlink r:id="rId365" ref="L215"/>
    <hyperlink r:id="rId366" ref="D216"/>
    <hyperlink r:id="rId367" ref="L216"/>
    <hyperlink r:id="rId368" ref="D217"/>
    <hyperlink r:id="rId369" ref="L217"/>
    <hyperlink r:id="rId370" ref="D218"/>
    <hyperlink r:id="rId371" ref="L218"/>
    <hyperlink r:id="rId372" ref="D219"/>
    <hyperlink r:id="rId373" ref="L219"/>
    <hyperlink r:id="rId374" ref="D220"/>
    <hyperlink r:id="rId375" ref="L220"/>
    <hyperlink r:id="rId376" ref="D221"/>
    <hyperlink r:id="rId377" ref="L221"/>
    <hyperlink r:id="rId378" ref="D222"/>
    <hyperlink r:id="rId379" ref="L222"/>
    <hyperlink r:id="rId380" ref="D223"/>
    <hyperlink r:id="rId381" ref="L223"/>
    <hyperlink r:id="rId382" ref="L224"/>
    <hyperlink r:id="rId383" ref="D225"/>
    <hyperlink r:id="rId384" ref="L225"/>
    <hyperlink r:id="rId385" ref="D226"/>
    <hyperlink r:id="rId386" ref="L226"/>
    <hyperlink r:id="rId387" ref="D227"/>
    <hyperlink r:id="rId388" ref="L227"/>
    <hyperlink r:id="rId389" ref="D228"/>
    <hyperlink r:id="rId390" ref="L228"/>
    <hyperlink r:id="rId391" ref="D229"/>
    <hyperlink r:id="rId392" ref="L229"/>
    <hyperlink r:id="rId393" ref="D230"/>
    <hyperlink r:id="rId394" ref="L230"/>
    <hyperlink r:id="rId395" ref="D231"/>
    <hyperlink r:id="rId396" ref="L231"/>
    <hyperlink r:id="rId397" ref="D232"/>
    <hyperlink r:id="rId398" ref="L232"/>
    <hyperlink r:id="rId399" ref="D233"/>
    <hyperlink r:id="rId400" ref="L233"/>
    <hyperlink r:id="rId401" ref="D234"/>
    <hyperlink r:id="rId402" ref="L234"/>
    <hyperlink r:id="rId403" ref="D235"/>
    <hyperlink r:id="rId404" ref="L235"/>
    <hyperlink r:id="rId405" ref="D236"/>
    <hyperlink r:id="rId406" ref="L236"/>
    <hyperlink r:id="rId407" ref="D237"/>
    <hyperlink r:id="rId408" ref="L237"/>
    <hyperlink r:id="rId409" ref="D238"/>
    <hyperlink r:id="rId410" ref="L238"/>
    <hyperlink r:id="rId411" ref="D239"/>
    <hyperlink r:id="rId412" ref="L239"/>
    <hyperlink r:id="rId413" ref="D240"/>
    <hyperlink r:id="rId414" ref="L240"/>
    <hyperlink r:id="rId415" ref="D241"/>
    <hyperlink r:id="rId416" ref="L241"/>
    <hyperlink r:id="rId417" ref="D242"/>
    <hyperlink r:id="rId418" ref="L242"/>
    <hyperlink r:id="rId419" ref="D243"/>
    <hyperlink r:id="rId420" ref="L243"/>
    <hyperlink r:id="rId421" ref="D244"/>
    <hyperlink r:id="rId422" ref="L244"/>
    <hyperlink r:id="rId423" ref="D245"/>
    <hyperlink r:id="rId424" ref="L245"/>
    <hyperlink r:id="rId425" ref="D246"/>
    <hyperlink r:id="rId426" ref="L246"/>
    <hyperlink r:id="rId427" ref="D247"/>
    <hyperlink r:id="rId428" ref="L247"/>
    <hyperlink r:id="rId429" ref="D248"/>
    <hyperlink r:id="rId430" ref="L248"/>
    <hyperlink r:id="rId431" ref="D249"/>
    <hyperlink r:id="rId432" ref="L249"/>
    <hyperlink r:id="rId433" ref="D250"/>
    <hyperlink r:id="rId434" ref="L250"/>
    <hyperlink r:id="rId435" ref="D251"/>
    <hyperlink r:id="rId436" ref="L251"/>
    <hyperlink r:id="rId437" ref="D252"/>
    <hyperlink r:id="rId438" ref="L252"/>
    <hyperlink r:id="rId439" ref="D253"/>
    <hyperlink r:id="rId440" ref="L253"/>
    <hyperlink r:id="rId441" ref="D254"/>
    <hyperlink r:id="rId442" ref="L254"/>
    <hyperlink r:id="rId443" ref="D255"/>
    <hyperlink r:id="rId444" ref="L255"/>
    <hyperlink r:id="rId445" ref="D256"/>
    <hyperlink r:id="rId446" ref="L256"/>
    <hyperlink r:id="rId447" ref="D257"/>
    <hyperlink r:id="rId448" ref="L257"/>
    <hyperlink r:id="rId449" ref="D258"/>
    <hyperlink r:id="rId450" ref="L258"/>
    <hyperlink r:id="rId451" ref="D259"/>
    <hyperlink r:id="rId452" ref="L259"/>
    <hyperlink r:id="rId453" ref="D260"/>
    <hyperlink r:id="rId454" ref="L260"/>
    <hyperlink r:id="rId455" ref="D261"/>
    <hyperlink r:id="rId456" ref="L261"/>
    <hyperlink r:id="rId457" ref="D262"/>
    <hyperlink r:id="rId458" ref="L262"/>
    <hyperlink r:id="rId459" ref="D263"/>
    <hyperlink r:id="rId460" ref="L263"/>
    <hyperlink r:id="rId461" ref="D264"/>
    <hyperlink r:id="rId462" ref="L264"/>
    <hyperlink r:id="rId463" ref="D265"/>
    <hyperlink r:id="rId464" ref="L265"/>
    <hyperlink r:id="rId465" ref="D266"/>
    <hyperlink r:id="rId466" ref="L266"/>
    <hyperlink r:id="rId467" ref="D267"/>
    <hyperlink r:id="rId468" ref="L267"/>
    <hyperlink r:id="rId469" ref="D268"/>
    <hyperlink r:id="rId470" ref="L268"/>
    <hyperlink r:id="rId471" ref="D269"/>
    <hyperlink r:id="rId472" ref="L269"/>
    <hyperlink r:id="rId473" ref="D270"/>
    <hyperlink r:id="rId474" ref="L270"/>
    <hyperlink r:id="rId475" ref="D271"/>
    <hyperlink r:id="rId476" ref="L271"/>
    <hyperlink r:id="rId477" ref="D272"/>
    <hyperlink r:id="rId478" ref="L272"/>
    <hyperlink r:id="rId479" ref="D273"/>
    <hyperlink r:id="rId480" ref="L273"/>
    <hyperlink r:id="rId481" ref="D274"/>
    <hyperlink r:id="rId482" ref="L274"/>
    <hyperlink r:id="rId483" ref="D275"/>
    <hyperlink r:id="rId484" ref="L275"/>
    <hyperlink r:id="rId485" ref="D276"/>
    <hyperlink r:id="rId486" ref="L276"/>
    <hyperlink r:id="rId487" ref="D277"/>
    <hyperlink r:id="rId488" ref="L277"/>
    <hyperlink r:id="rId489" ref="D278"/>
    <hyperlink r:id="rId490" ref="L278"/>
    <hyperlink r:id="rId491" ref="D279"/>
    <hyperlink r:id="rId492" ref="L279"/>
    <hyperlink r:id="rId493" ref="D280"/>
    <hyperlink r:id="rId494" ref="L280"/>
    <hyperlink r:id="rId495" ref="D281"/>
    <hyperlink r:id="rId496" ref="L281"/>
    <hyperlink r:id="rId497" ref="D282"/>
    <hyperlink r:id="rId498" ref="L282"/>
    <hyperlink r:id="rId499" ref="D283"/>
    <hyperlink r:id="rId500" ref="L283"/>
    <hyperlink r:id="rId501" ref="D284"/>
    <hyperlink r:id="rId502" ref="L284"/>
    <hyperlink r:id="rId503" ref="D285"/>
    <hyperlink r:id="rId504" ref="L285"/>
    <hyperlink r:id="rId505" ref="D286"/>
    <hyperlink r:id="rId506" ref="L286"/>
    <hyperlink r:id="rId507" ref="D287"/>
    <hyperlink r:id="rId508" ref="L287"/>
    <hyperlink r:id="rId509" ref="D288"/>
    <hyperlink r:id="rId510" ref="L288"/>
    <hyperlink r:id="rId511" ref="D289"/>
    <hyperlink r:id="rId512" ref="L289"/>
    <hyperlink r:id="rId513" ref="D290"/>
    <hyperlink r:id="rId514" ref="L290"/>
    <hyperlink r:id="rId515" ref="D291"/>
    <hyperlink r:id="rId516" ref="L291"/>
    <hyperlink r:id="rId517" ref="D292"/>
    <hyperlink r:id="rId518" ref="L292"/>
    <hyperlink r:id="rId519" ref="D293"/>
    <hyperlink r:id="rId520" ref="L293"/>
    <hyperlink r:id="rId521" ref="D294"/>
    <hyperlink r:id="rId522" ref="L294"/>
    <hyperlink r:id="rId523" ref="D295"/>
    <hyperlink r:id="rId524" ref="L295"/>
    <hyperlink r:id="rId525" ref="D296"/>
    <hyperlink r:id="rId526" ref="L296"/>
    <hyperlink r:id="rId527" ref="D297"/>
    <hyperlink r:id="rId528" ref="L297"/>
    <hyperlink r:id="rId529" ref="D298"/>
    <hyperlink r:id="rId530" ref="L298"/>
    <hyperlink r:id="rId531" ref="D299"/>
    <hyperlink r:id="rId532" ref="L299"/>
    <hyperlink r:id="rId533" ref="D300"/>
    <hyperlink r:id="rId534" ref="L300"/>
    <hyperlink r:id="rId535" ref="D301"/>
    <hyperlink r:id="rId536" ref="L301"/>
    <hyperlink r:id="rId537" ref="D302"/>
    <hyperlink r:id="rId538" ref="L302"/>
    <hyperlink r:id="rId539" ref="D303"/>
    <hyperlink r:id="rId540" ref="L303"/>
    <hyperlink r:id="rId541" ref="D304"/>
    <hyperlink r:id="rId542" ref="L304"/>
    <hyperlink r:id="rId543" ref="D305"/>
    <hyperlink r:id="rId544" ref="L305"/>
    <hyperlink r:id="rId545" ref="D306"/>
    <hyperlink r:id="rId546" ref="L306"/>
    <hyperlink r:id="rId547" ref="D307"/>
    <hyperlink r:id="rId548" ref="L307"/>
    <hyperlink r:id="rId549" ref="D308"/>
    <hyperlink r:id="rId550" ref="L308"/>
    <hyperlink r:id="rId551" ref="D309"/>
    <hyperlink r:id="rId552" ref="L309"/>
    <hyperlink r:id="rId553" ref="D310"/>
    <hyperlink r:id="rId554" ref="L310"/>
    <hyperlink r:id="rId555" ref="D311"/>
    <hyperlink r:id="rId556" ref="L311"/>
    <hyperlink r:id="rId557" ref="D312"/>
    <hyperlink r:id="rId558" ref="L312"/>
    <hyperlink r:id="rId559" ref="D313"/>
    <hyperlink r:id="rId560" ref="L313"/>
    <hyperlink r:id="rId561" ref="D314"/>
    <hyperlink r:id="rId562" ref="L314"/>
    <hyperlink r:id="rId563" ref="D315"/>
    <hyperlink r:id="rId564" ref="L315"/>
    <hyperlink r:id="rId565" ref="D316"/>
    <hyperlink r:id="rId566" ref="L316"/>
    <hyperlink r:id="rId567" ref="D317"/>
    <hyperlink r:id="rId568" ref="L317"/>
    <hyperlink r:id="rId569" ref="D318"/>
    <hyperlink r:id="rId570" ref="L318"/>
    <hyperlink r:id="rId571" ref="D319"/>
    <hyperlink r:id="rId572" ref="L319"/>
    <hyperlink r:id="rId573" ref="D320"/>
    <hyperlink r:id="rId574" ref="L320"/>
    <hyperlink r:id="rId575" ref="D321"/>
    <hyperlink r:id="rId576" ref="L321"/>
    <hyperlink r:id="rId577" ref="D322"/>
    <hyperlink r:id="rId578" ref="L322"/>
    <hyperlink r:id="rId579" ref="D323"/>
    <hyperlink r:id="rId580" ref="L323"/>
    <hyperlink r:id="rId581" ref="D324"/>
    <hyperlink r:id="rId582" ref="L324"/>
    <hyperlink r:id="rId583" ref="D325"/>
    <hyperlink r:id="rId584" ref="L325"/>
    <hyperlink r:id="rId585" ref="D326"/>
    <hyperlink r:id="rId586" ref="L326"/>
    <hyperlink r:id="rId587" ref="D327"/>
    <hyperlink r:id="rId588" ref="L327"/>
    <hyperlink r:id="rId589" ref="D328"/>
    <hyperlink r:id="rId590" ref="L328"/>
    <hyperlink r:id="rId591" ref="D329"/>
    <hyperlink r:id="rId592" ref="L329"/>
    <hyperlink r:id="rId593" ref="D330"/>
    <hyperlink r:id="rId594" ref="L330"/>
    <hyperlink r:id="rId595" ref="D331"/>
    <hyperlink r:id="rId596" ref="L331"/>
    <hyperlink r:id="rId597" ref="D332"/>
    <hyperlink r:id="rId598" ref="L332"/>
    <hyperlink r:id="rId599" ref="D333"/>
    <hyperlink r:id="rId600" ref="L333"/>
    <hyperlink r:id="rId601" ref="D334"/>
    <hyperlink r:id="rId602" ref="L334"/>
    <hyperlink r:id="rId603" ref="D335"/>
    <hyperlink r:id="rId604" ref="L335"/>
    <hyperlink r:id="rId605" ref="D336"/>
    <hyperlink r:id="rId606" ref="L336"/>
    <hyperlink r:id="rId607" ref="D337"/>
    <hyperlink r:id="rId608" ref="L337"/>
    <hyperlink r:id="rId609" ref="D338"/>
    <hyperlink r:id="rId610" ref="L338"/>
    <hyperlink r:id="rId611" ref="D339"/>
    <hyperlink r:id="rId612" ref="L339"/>
    <hyperlink r:id="rId613" ref="D340"/>
    <hyperlink r:id="rId614" ref="L340"/>
    <hyperlink r:id="rId615" ref="D341"/>
    <hyperlink r:id="rId616" ref="L341"/>
    <hyperlink r:id="rId617" ref="D343"/>
    <hyperlink r:id="rId618" ref="L343"/>
    <hyperlink r:id="rId619" ref="D344"/>
    <hyperlink r:id="rId620" ref="L344"/>
    <hyperlink r:id="rId621" ref="D345"/>
    <hyperlink r:id="rId622" ref="L345"/>
    <hyperlink r:id="rId623" ref="D346"/>
    <hyperlink r:id="rId624" ref="L346"/>
    <hyperlink r:id="rId625" ref="D347"/>
    <hyperlink r:id="rId626" ref="L347"/>
    <hyperlink r:id="rId627" ref="D348"/>
    <hyperlink r:id="rId628" ref="L348"/>
    <hyperlink r:id="rId629" ref="D349"/>
    <hyperlink r:id="rId630" ref="L349"/>
    <hyperlink r:id="rId631" ref="D350"/>
    <hyperlink r:id="rId632" ref="L350"/>
    <hyperlink r:id="rId633" ref="D351"/>
    <hyperlink r:id="rId634" ref="L351"/>
    <hyperlink r:id="rId635" ref="D352"/>
    <hyperlink r:id="rId636" ref="L352"/>
    <hyperlink r:id="rId637" ref="D353"/>
    <hyperlink r:id="rId638" ref="L353"/>
    <hyperlink r:id="rId639" ref="D354"/>
    <hyperlink r:id="rId640" ref="L354"/>
  </hyperlinks>
  <drawing r:id="rId641"/>
  <tableParts count="1">
    <tablePart r:id="rId6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7.13"/>
    <col customWidth="1" min="5" max="5" width="22.63"/>
    <col customWidth="1" min="6" max="6" width="19.63"/>
    <col customWidth="1" min="7" max="7" width="22.63"/>
    <col customWidth="1" min="8" max="8" width="28.0"/>
    <col customWidth="1" min="9" max="9" width="15.25"/>
    <col customWidth="1" min="10" max="10" width="15.75"/>
  </cols>
  <sheetData>
    <row r="1">
      <c r="B1" s="1" t="s">
        <v>576</v>
      </c>
    </row>
    <row r="3">
      <c r="B3" s="2"/>
      <c r="C3" s="2"/>
      <c r="D3" s="2"/>
      <c r="E3" s="2"/>
      <c r="F3" s="2"/>
      <c r="G3" s="2"/>
      <c r="H3" s="2"/>
      <c r="I3" s="2"/>
      <c r="J3" s="2"/>
    </row>
    <row r="4">
      <c r="B4" s="3"/>
      <c r="C4" s="3"/>
      <c r="D4" s="3"/>
      <c r="E4" s="3"/>
      <c r="F4" s="3"/>
      <c r="G4" s="3"/>
      <c r="H4" s="3"/>
      <c r="I4" s="3"/>
      <c r="J4" s="3"/>
    </row>
    <row r="5">
      <c r="B5" s="4" t="s">
        <v>1</v>
      </c>
      <c r="C5" s="5" t="s">
        <v>2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6" t="s">
        <v>8</v>
      </c>
    </row>
    <row r="6" hidden="1">
      <c r="B6" s="7"/>
      <c r="C6" s="8"/>
      <c r="D6" s="8"/>
      <c r="E6" s="8"/>
      <c r="F6" s="8"/>
      <c r="G6" s="98"/>
      <c r="H6" s="8"/>
      <c r="I6" s="98"/>
      <c r="J6" s="9"/>
    </row>
    <row r="7">
      <c r="B7" s="10">
        <v>1.0</v>
      </c>
      <c r="C7" s="11"/>
      <c r="D7" s="11"/>
      <c r="E7" s="11"/>
      <c r="F7" s="11"/>
      <c r="G7" s="41" t="s">
        <v>9</v>
      </c>
      <c r="H7" s="11"/>
      <c r="I7" s="43" t="s">
        <v>9</v>
      </c>
      <c r="J7" s="153" t="s">
        <v>9</v>
      </c>
    </row>
    <row r="8">
      <c r="B8" s="13">
        <v>2.0</v>
      </c>
      <c r="C8" s="8"/>
      <c r="D8" s="8"/>
      <c r="E8" s="8"/>
      <c r="F8" s="8"/>
      <c r="G8" s="28" t="s">
        <v>9</v>
      </c>
      <c r="H8" s="8"/>
      <c r="I8" s="30" t="s">
        <v>9</v>
      </c>
      <c r="J8" s="154" t="s">
        <v>9</v>
      </c>
    </row>
    <row r="9">
      <c r="B9" s="10">
        <v>3.0</v>
      </c>
      <c r="C9" s="11"/>
      <c r="D9" s="11"/>
      <c r="E9" s="11"/>
      <c r="F9" s="11"/>
      <c r="G9" s="41" t="s">
        <v>9</v>
      </c>
      <c r="H9" s="11"/>
      <c r="I9" s="43" t="s">
        <v>9</v>
      </c>
      <c r="J9" s="153" t="s">
        <v>9</v>
      </c>
    </row>
    <row r="10">
      <c r="B10" s="13">
        <v>4.0</v>
      </c>
      <c r="C10" s="8"/>
      <c r="D10" s="8"/>
      <c r="E10" s="8"/>
      <c r="F10" s="8"/>
      <c r="G10" s="28" t="s">
        <v>9</v>
      </c>
      <c r="H10" s="8"/>
      <c r="I10" s="30" t="s">
        <v>9</v>
      </c>
      <c r="J10" s="154" t="s">
        <v>9</v>
      </c>
    </row>
    <row r="11">
      <c r="B11" s="10">
        <v>5.0</v>
      </c>
      <c r="C11" s="11"/>
      <c r="D11" s="11"/>
      <c r="E11" s="11"/>
      <c r="F11" s="11"/>
      <c r="G11" s="41" t="s">
        <v>9</v>
      </c>
      <c r="H11" s="11"/>
      <c r="I11" s="43" t="s">
        <v>9</v>
      </c>
      <c r="J11" s="153" t="s">
        <v>9</v>
      </c>
    </row>
    <row r="12">
      <c r="B12" s="13">
        <v>6.0</v>
      </c>
      <c r="C12" s="8"/>
      <c r="D12" s="8"/>
      <c r="E12" s="8"/>
      <c r="F12" s="8"/>
      <c r="G12" s="28" t="s">
        <v>9</v>
      </c>
      <c r="H12" s="8"/>
      <c r="I12" s="30" t="s">
        <v>9</v>
      </c>
      <c r="J12" s="154" t="s">
        <v>9</v>
      </c>
    </row>
    <row r="13">
      <c r="B13" s="10">
        <v>7.0</v>
      </c>
      <c r="C13" s="11"/>
      <c r="D13" s="11"/>
      <c r="E13" s="11"/>
      <c r="F13" s="11"/>
      <c r="G13" s="41" t="s">
        <v>9</v>
      </c>
      <c r="H13" s="11"/>
      <c r="I13" s="43" t="s">
        <v>9</v>
      </c>
      <c r="J13" s="153" t="s">
        <v>9</v>
      </c>
    </row>
    <row r="14">
      <c r="B14" s="13">
        <v>8.0</v>
      </c>
      <c r="C14" s="8"/>
      <c r="D14" s="8"/>
      <c r="E14" s="8"/>
      <c r="F14" s="8"/>
      <c r="G14" s="28" t="s">
        <v>9</v>
      </c>
      <c r="H14" s="8"/>
      <c r="I14" s="30" t="s">
        <v>9</v>
      </c>
      <c r="J14" s="154" t="s">
        <v>9</v>
      </c>
    </row>
    <row r="15">
      <c r="B15" s="10">
        <v>9.0</v>
      </c>
      <c r="C15" s="11"/>
      <c r="D15" s="11"/>
      <c r="E15" s="11"/>
      <c r="F15" s="11"/>
      <c r="G15" s="41" t="s">
        <v>9</v>
      </c>
      <c r="H15" s="11"/>
      <c r="I15" s="43" t="s">
        <v>9</v>
      </c>
      <c r="J15" s="153" t="s">
        <v>9</v>
      </c>
    </row>
    <row r="16">
      <c r="B16" s="13">
        <v>10.0</v>
      </c>
      <c r="C16" s="8"/>
      <c r="D16" s="8"/>
      <c r="E16" s="8"/>
      <c r="F16" s="8"/>
      <c r="G16" s="28" t="s">
        <v>9</v>
      </c>
      <c r="H16" s="8"/>
      <c r="I16" s="30" t="s">
        <v>9</v>
      </c>
      <c r="J16" s="154" t="s">
        <v>9</v>
      </c>
    </row>
    <row r="17">
      <c r="B17" s="10">
        <v>11.0</v>
      </c>
      <c r="C17" s="11"/>
      <c r="D17" s="11"/>
      <c r="E17" s="11"/>
      <c r="F17" s="11"/>
      <c r="G17" s="41" t="s">
        <v>9</v>
      </c>
      <c r="H17" s="11"/>
      <c r="I17" s="43" t="s">
        <v>9</v>
      </c>
      <c r="J17" s="153" t="s">
        <v>9</v>
      </c>
    </row>
    <row r="18">
      <c r="B18" s="13">
        <v>12.0</v>
      </c>
      <c r="C18" s="8"/>
      <c r="D18" s="8"/>
      <c r="E18" s="8"/>
      <c r="F18" s="8"/>
      <c r="G18" s="28" t="s">
        <v>9</v>
      </c>
      <c r="H18" s="8"/>
      <c r="I18" s="30" t="s">
        <v>9</v>
      </c>
      <c r="J18" s="154" t="s">
        <v>9</v>
      </c>
    </row>
    <row r="19">
      <c r="B19" s="10">
        <v>13.0</v>
      </c>
      <c r="C19" s="11"/>
      <c r="D19" s="11"/>
      <c r="E19" s="11"/>
      <c r="F19" s="11"/>
      <c r="G19" s="41" t="s">
        <v>9</v>
      </c>
      <c r="H19" s="11"/>
      <c r="I19" s="43" t="s">
        <v>9</v>
      </c>
      <c r="J19" s="153" t="s">
        <v>9</v>
      </c>
    </row>
    <row r="20">
      <c r="B20" s="13">
        <v>14.0</v>
      </c>
      <c r="C20" s="8"/>
      <c r="D20" s="8"/>
      <c r="E20" s="8"/>
      <c r="F20" s="8"/>
      <c r="G20" s="28" t="s">
        <v>9</v>
      </c>
      <c r="H20" s="8"/>
      <c r="I20" s="30" t="s">
        <v>9</v>
      </c>
      <c r="J20" s="154" t="s">
        <v>9</v>
      </c>
    </row>
    <row r="21">
      <c r="B21" s="10">
        <v>15.0</v>
      </c>
      <c r="C21" s="11"/>
      <c r="D21" s="11"/>
      <c r="E21" s="11"/>
      <c r="F21" s="11"/>
      <c r="G21" s="41" t="s">
        <v>9</v>
      </c>
      <c r="H21" s="11"/>
      <c r="I21" s="43" t="s">
        <v>9</v>
      </c>
      <c r="J21" s="153" t="s">
        <v>9</v>
      </c>
    </row>
    <row r="22">
      <c r="B22" s="13">
        <v>16.0</v>
      </c>
      <c r="C22" s="8"/>
      <c r="D22" s="8"/>
      <c r="E22" s="8"/>
      <c r="F22" s="8"/>
      <c r="G22" s="28" t="s">
        <v>9</v>
      </c>
      <c r="H22" s="8"/>
      <c r="I22" s="30" t="s">
        <v>9</v>
      </c>
      <c r="J22" s="154" t="s">
        <v>9</v>
      </c>
    </row>
    <row r="23">
      <c r="B23" s="10">
        <v>17.0</v>
      </c>
      <c r="C23" s="11"/>
      <c r="D23" s="11"/>
      <c r="E23" s="11"/>
      <c r="F23" s="11"/>
      <c r="G23" s="41" t="s">
        <v>9</v>
      </c>
      <c r="H23" s="11"/>
      <c r="I23" s="43" t="s">
        <v>9</v>
      </c>
      <c r="J23" s="153" t="s">
        <v>9</v>
      </c>
    </row>
    <row r="24">
      <c r="B24" s="13">
        <v>18.0</v>
      </c>
      <c r="C24" s="8"/>
      <c r="D24" s="8"/>
      <c r="E24" s="8"/>
      <c r="F24" s="8"/>
      <c r="G24" s="28" t="s">
        <v>9</v>
      </c>
      <c r="H24" s="8"/>
      <c r="I24" s="30" t="s">
        <v>9</v>
      </c>
      <c r="J24" s="154" t="s">
        <v>9</v>
      </c>
    </row>
    <row r="25">
      <c r="B25" s="10">
        <v>19.0</v>
      </c>
      <c r="C25" s="11"/>
      <c r="D25" s="11"/>
      <c r="E25" s="11"/>
      <c r="F25" s="11"/>
      <c r="G25" s="41" t="s">
        <v>9</v>
      </c>
      <c r="H25" s="11"/>
      <c r="I25" s="43" t="s">
        <v>9</v>
      </c>
      <c r="J25" s="153" t="s">
        <v>9</v>
      </c>
    </row>
    <row r="26">
      <c r="B26" s="13">
        <v>20.0</v>
      </c>
      <c r="C26" s="8"/>
      <c r="D26" s="8"/>
      <c r="E26" s="8"/>
      <c r="F26" s="8"/>
      <c r="G26" s="28" t="s">
        <v>9</v>
      </c>
      <c r="H26" s="8"/>
      <c r="I26" s="30" t="s">
        <v>9</v>
      </c>
      <c r="J26" s="154" t="s">
        <v>9</v>
      </c>
    </row>
    <row r="27">
      <c r="B27" s="10">
        <v>21.0</v>
      </c>
      <c r="C27" s="11"/>
      <c r="D27" s="11"/>
      <c r="E27" s="11"/>
      <c r="F27" s="11"/>
      <c r="G27" s="41" t="s">
        <v>9</v>
      </c>
      <c r="H27" s="11"/>
      <c r="I27" s="43" t="s">
        <v>9</v>
      </c>
      <c r="J27" s="153" t="s">
        <v>9</v>
      </c>
    </row>
    <row r="28">
      <c r="B28" s="13">
        <v>22.0</v>
      </c>
      <c r="C28" s="8"/>
      <c r="D28" s="8"/>
      <c r="E28" s="8"/>
      <c r="F28" s="8"/>
      <c r="G28" s="28" t="s">
        <v>9</v>
      </c>
      <c r="H28" s="8"/>
      <c r="I28" s="30" t="s">
        <v>9</v>
      </c>
      <c r="J28" s="154" t="s">
        <v>9</v>
      </c>
    </row>
    <row r="29">
      <c r="B29" s="10">
        <v>23.0</v>
      </c>
      <c r="C29" s="11"/>
      <c r="D29" s="11"/>
      <c r="E29" s="11"/>
      <c r="F29" s="11"/>
      <c r="G29" s="41" t="s">
        <v>9</v>
      </c>
      <c r="H29" s="11"/>
      <c r="I29" s="43" t="s">
        <v>9</v>
      </c>
      <c r="J29" s="153" t="s">
        <v>9</v>
      </c>
    </row>
    <row r="30">
      <c r="B30" s="13">
        <v>24.0</v>
      </c>
      <c r="C30" s="8"/>
      <c r="D30" s="8"/>
      <c r="E30" s="8"/>
      <c r="F30" s="8"/>
      <c r="G30" s="28" t="s">
        <v>9</v>
      </c>
      <c r="H30" s="8"/>
      <c r="I30" s="30" t="s">
        <v>9</v>
      </c>
      <c r="J30" s="154" t="s">
        <v>9</v>
      </c>
    </row>
    <row r="31">
      <c r="B31" s="15">
        <v>25.0</v>
      </c>
      <c r="C31" s="16"/>
      <c r="D31" s="16"/>
      <c r="E31" s="16"/>
      <c r="F31" s="16"/>
      <c r="G31" s="155" t="s">
        <v>9</v>
      </c>
      <c r="H31" s="16"/>
      <c r="I31" s="156" t="s">
        <v>9</v>
      </c>
      <c r="J31" s="157" t="s">
        <v>9</v>
      </c>
    </row>
  </sheetData>
  <mergeCells count="1">
    <mergeCell ref="B1:J2"/>
  </mergeCells>
  <dataValidations>
    <dataValidation type="list" allowBlank="1" sqref="G6:G31">
      <formula1>"None,Improper,Insecure  Deserialization,Cross Site Scripting (XSS),Security Misconfiguration,Broken Acess Control,XML External Entities ( XXE ),Injection,Broken Authentication,Sensitive Data Exspose"</formula1>
    </dataValidation>
    <dataValidation type="list" allowBlank="1" sqref="I6:I31">
      <formula1>"Critical,High,Medium,Low,Recomendation,None"</formula1>
    </dataValidation>
    <dataValidation type="list" allowBlank="1" sqref="J6:J31">
      <formula1>"New,Retesting,Resolved,None"</formula1>
    </dataValidation>
  </dataValidations>
  <drawing r:id="rId1"/>
  <tableParts count="1">
    <tablePart r:id="rId3"/>
  </tableParts>
</worksheet>
</file>